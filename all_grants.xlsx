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15" customWidth="1" min="1" max="1"/>
    <col width="15" customWidth="1" min="2" max="2"/>
    <col width="50" customWidth="1" min="3" max="3"/>
    <col width="100" customWidth="1" min="4" max="4"/>
    <col width="60" customWidth="1" min="5" max="5"/>
    <col width="25" customWidth="1" min="6" max="6"/>
    <col width="18" customWidth="1" min="7" max="7"/>
    <col width="12" customWidth="1" min="8" max="8"/>
    <col width="60" customWidth="1" min="9" max="9"/>
  </cols>
  <sheetData>
    <row r="1">
      <c r="A1" t="inlineStr">
        <is>
          <t>Source</t>
        </is>
      </c>
      <c r="B1" t="inlineStr">
        <is>
          <t>Type</t>
        </is>
      </c>
      <c r="C1" t="inlineStr">
        <is>
          <t>Title</t>
        </is>
      </c>
      <c r="D1" t="inlineStr">
        <is>
          <t>Description</t>
        </is>
      </c>
      <c r="E1" t="inlineStr">
        <is>
          <t>How_to_Apply</t>
        </is>
      </c>
      <c r="F1" t="inlineStr">
        <is>
          <t>Matched_Vertical</t>
        </is>
      </c>
      <c r="G1" t="inlineStr">
        <is>
          <t>Deadline</t>
        </is>
      </c>
      <c r="H1" t="inlineStr">
        <is>
          <t>Days_Left</t>
        </is>
      </c>
      <c r="I1" t="inlineStr">
        <is>
          <t>Clickable_Link</t>
        </is>
      </c>
    </row>
    <row r="2">
      <c r="A2" s="1" t="inlineStr">
        <is>
          <t>DevNetJobsIndia</t>
        </is>
      </c>
      <c r="B2" s="1" t="inlineStr"/>
      <c r="C2" s="1" t="inlineStr">
        <is>
          <t>RFQ - Check dam repair and desilting three units at polkampalli village mu...</t>
        </is>
      </c>
      <c r="D2" s="2" t="inlineStr">
        <is>
          <t>WaterAid India | Sangareddy, Telangana
International Development - RFQ - Check dam repair and desilting three units at polkampalli village munipalli mandal in sangareddy District, WaterAid India, Telangana - DevNetJobsIndia.org
Jobseekers:
Login
|
Register
Home
Value Membership
Broadcast Resume
RFPs/Tenders
Search Jobs
Events
Jobseekers:
Login
|
Register
Jobseekers Login
Jobseekers Register
Job ID:
287051
RFQ - Check dam repair and desilting three units at polkampalli village munipalli mandal in sangareddy District
WaterAid India
Location:
Sangareddy,
Telangana
Apply by:
16 Feb 2026
Relevant Sectors
Administration, HR, Management, Accounting/Finance
Infrastructure, Technology, Engineering, Science
Monitoring, Evaluation, Policy, Research
WaterAid, Hyderabad
Tender Notice Number:   WAI/HYD/Microsoft-II/16/2025-26
Nature of work: Check dam repair and desilting three units at polkampalli village munipalli mandal in sangareddy District
.
Competitive Quotations are invited from experienced Licensed Contractors for the construction of Check dam repair and desilting three units at polkampalli village munipalli mandal in sangareddy District.The detailed estimate is notified in the office notice board. Last date for submission of Quotation is 16.02.2026.
S.   No
Place   of Work
Details   of Work
Time   limit for Completion of the Work
1
RetRetrofitting   of check dam and desiltation at polkampalli near to kalmarugu sanganna farmar   land.
Planning   desiltation with the measurements of 200m length,11.25 width and 0.8m depth,   Laying of PCC at U/S side of check dam with the measurements of 13m   length,0.1m depth and 1.5m width, laying of PCC at D/S damaged portion with   the measurements of 3m length,0.45m width and 0.8m depth, construct U/S side   cut off wall with the measurements of 13m length,0.20m width and 0.8m depth,   Retrofitting of existing apron of check dam with the measurements of 13m   length,2.3m width and 0.2m depth, construct toe wall with the measurements   of  13m length ,0.3m width and 0.45m depth by using iron bars 10mm and   8mm bars.
45days
2
Retrofitting   of check dam and desiltation  at polkampalli near to muthyala sailu   farmar land
Planning   desiltation with the measurements of 200m length,11.25 width and 0.8m depth,   Laying of PCC at U/S side of check dam with the measurements of 16m   length,0.1m depth and 1.5m width, laying of PCC at D/S damaged portion with   the measurements of 3m length,0.45m width and 0.8m depth, construct U/S side   cut off wall with the measurements of 16m length,0.20m width and 0.8m depth,   Retrofitting of existing apron of check dam with the measurements of 16m   length,2.3m width and 0.2m depth, construct toe wall with the measurements   of  16m length ,0.3m width and 0.45m depth by using iron bars 10mm and   8mm bars.
45days
3
Retrofitting   of check dam and desiltation at polkampalli near to raghapuram rachanna   farmar land
Planning   desiltation with the measurements of 300m length,11.25 width and 0.8m depth,   Laying of PCC at U/S side of check dam with the measurements of 13m   length,0.1m depth and 1.5m width, construct U/S side cut off wall with the   measurements of 13m length,0.20m width and 0.8m depth, Retrofitting of   existing apron of check dam with the measurements of 13m length,2.5m width   and 0.2m depth, construct toe wall with the measurements of  13m length   ,0.3m width and 0.45m depth by using iron bars 10mm and 8mm bars.
45days
Payment terms and conditions
:
First Instalment
On   signing of work order
40%
2nd Instalment
After   Desiltation work of check dam
30%
After Completion of the work (final payment)
After   completion of total work as per the estimation
30%
Contractors are encouraged to visit the site before submitting quotes, if they have any query as assistance needed to visit the site – they can directly reply to this mail.
Quotations should submit to : Mail: &lt;
WAIProcurementAP@wateraid.org
&gt;
Terms and Conditions:
Selected vendor will be received the bidding confirmation within 10 days from the last day of RFQ (last day of quotation submission date) and the other vendors can consider the bidding has been closed and work assignment has been completed, no specified mails will be sent about selection of vendors
Please quote for WaterAid (Jal Seva Charitable Foundation) contributed works only and community contribution part will be taken care by the community - either in cash or kind.
Details of community contribution and WaterAid contribution is given in enclosed estimations for your reference.
Regards,
Procurement team,
Andhra Pradesh &amp; Telangana.
For detailed information, please check the complete version of the RFQ attached below.
Download Attachment:
Tender invitation - Check dams.pdf
Download Attachment:
Estimation (1).xlsx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 s="2" t="inlineStr">
        <is>
          <t>• Payment terms and conditions
:
First Instalment
On   signing of work order
40%
2nd Instalment
After   Desiltation work of check dam
30%
After Completion of the work (final payment)
After   completion of total work as per the estimation
30%
Contractors are encouraged to visit the site before submitting quotes, if they have any query as assistance needed to visit the site – they can directly reply to this mail.
Quotations should submit to : Mail: &lt;
WAIProcurementAP@wateraid.org
&gt;
• Terms and Conditions:
Selected vendor will be received the bidding confirmation within 10 days from the last day of RFQ (last day of quotation submission date) and the other vendors can consider the bidding has been closed and work assignment has been completed, no specified mails will be sent about selection of vendors
Please quote for WaterAid (Jal Seva Charitable Foundation) contributed works only and community contribution part will be taken care by the community - either in cash or kind.
Details of community contribution and WaterAid contribution is given in enclosed estimations for your reference.
Regards,
Procurement team,
Andhra Pradesh &amp; Telangana.
For detailed information, please check the complete version of the RFQ attached below.
Download Attachment:
Tender invitation - Check dams.pdf
Download Attachment:
Estimation (1).xlsx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 s="1" t="inlineStr">
        <is>
          <t>Learning</t>
        </is>
      </c>
      <c r="G2" s="1" t="inlineStr">
        <is>
          <t>16-02-2026</t>
        </is>
      </c>
      <c r="H2" s="1" t="n">
        <v>0</v>
      </c>
      <c r="I2" s="1">
        <f>HYPERLINK("https://www.devnetjobsindia.org/JobDescription.aspx?Job_Id=287051","RFQ - Check dam repair and desilting three units at polkampalli village mu...")</f>
        <v/>
      </c>
    </row>
    <row r="3">
      <c r="A3" s="1" t="inlineStr">
        <is>
          <t>DevNetJobsIndia</t>
        </is>
      </c>
      <c r="B3" s="1" t="inlineStr"/>
      <c r="C3" s="1" t="inlineStr">
        <is>
          <t>RFQ - Set up STEM Mini Science Lab and Training of Teachers and SMC Members</t>
        </is>
      </c>
      <c r="D3" s="2" t="inlineStr">
        <is>
          <t>ChildFund India | India
International Development - RFQ - Set up STEM Mini Science Lab and Training of Teachers and SMC Members, ChildFund India, India - DevNetJobsIndia.org
Jobseekers:
Login
|
Register
Home
Value Membership
Broadcast Resume
RFPs/Tenders
Search Jobs
Events
Jobseekers:
Login
|
Register
Jobseekers Login
Jobseekers Register
Job ID:
287058
RFQ - Set up STEM Mini Science Lab and Training of Teachers and SMC Members
ChildFund India
Location:
India
Apply by:
16 Feb 2026
Relevant Sectors
Capacity Building, Training, Advocacy
Infrastructure, Technology, Engineering, Science
Social, Gender, Education, Youth, Child
Terms of Reference (ToR)
(Set up STEM Mini Science Lab and Training of Teachers and SMC Members)
1.
Brief about ChildFund India
ChildFund India, registered in India in 1984 has been working with children, youth and families from the most remote, extremely backward, and hard-to-reach areas in India, with a vision of “an India where children lead a dignified life and achieve their full potential”. ChildFund’s unique programs provide comprehensive support to children from their conception until they reach 24 years of age by integrating health, nutrition, sanitation, education, skill training, livelihoods, child protection and humanitarian relief work. ChildFund annually reaches 7.6 millions of children, youth, and their families across 14 States through its long-term programs.
2.
Brief about the SciXplore STEM Edge Program
The SciXplore STEM Edge Program is ChildFund India’s flagship initiative aimed at strengthening science, technology, engineering, and mathematics (STEM) education in government schools serving underserved and marginalized communities. The program is designed to enhance conceptual understanding, scientific temperament, digital literacy, and problem-solving skills through experiential, technology-enabled, and inquiry-based learning approaches.
Currently implemented across 9 states in India, the SciXplore STEM Edge Program is supporting 100+ government schools, reaching children primarily from rural and socio-economically vulnerable backgrounds. The program complements classroom teaching by integrating practical learning infrastructure and digital tools aligned with state curricula.
The key objectives of the program are –
To equip schools with the necessary infrastructure, training, and resources for STEM education
To encourage scientific thought and learning among children
To create an enabling environment for the education of girls in schools and communities
As part of this project, we engage with government-run and low-income schools. These schools are typically under-resourced and have poor learning outcomes. Each of the schools undergoes a comprehensive program wherein infrastructure, teacher capacity, and student learning opportunities are developed or upgraded.
3.
Scope of Work / Assignment
Under the SciXplore STEM Edge Program, ChildFund India intends to establish 3 ICT-enabled STEM Labs in selected government schools in Udaipur, Rajasthan. The selected agency will be responsible for the end-to-end design, supply, installation, training, and maintenance support required to operationalize fully functional STEM learning spaces. The scope encompasses provision of STEM lab equipment, ICT infrastructure, interior development, initial teacher capacity building, and post-installation support for maintenance of the models. The details of the components are as follows-
1
. Establishment of STEM Mini Science Lab
: The selected agency shall be responsible for supplying and installing a fully equipped STEM Mini Science Lab in each of the three identified government schools. Each lab must include a minimum of 90+ curriculum-aligned STEM models covering Physics, Chemistry, Biology, and Mathematics, along with DIY experiment kits and age-appropriate robotics kits. The agency must provide detailed experiment manuals, teacher guidebooks, student activity sheets, safety guidelines, and relevant lab posters. All materials must be durable, child-friendly, and aligned with the state curriculum. Proper cataloguing, labeling, and inventory documentation must be ensured for systematic lab management.
2. ICT Infrastructure- Interactive Panel and LMS Integration
: The agency shall supply and install a 64-inch interactive flat panel in each lab, equipped with an inbuilt Learning Management System (LMS) and digital content aligned with the state curriculum from Classes 1 to 12, with a minimum two-year subscription. The scope includes complete installation, mounting, electrical fittings, wiring, configuration, and testing to ensure seamless functionality. The agency must also provide necessary user orientation for teachers, a troubleshooting guide, and technical support within the warranty period to ensure uninterrupted usage of the ICT system.
3. STEM Lab Infrastructure and Interior Setup
: The agency shall undertake complete lab readiness, including provision and installation of wall-mounted or modular lab tables, cupboards, magnetic/white boards, PVC flooring, and necessary electrical fittings. The room must be painted and developed with STEM-themed decor to create a vibrant and engaging learning environment aligned with ChildFund India’s branding guidelines. The infrastructure setup should ensure safe movement space for students, organized storage of materials, adequate lighting, and compliance with basic safety standards. The lab must be handed over in fully operational condition.
4. STEM Hanging Library
: The agency shall provide hanging or space-efficient library units within each lab and supply a curated collection of STEM-focused books suitable for different grade levels. The books should promote inquiry-based learning, scientific thinking, and innovation. Proper indexing and cataloguing of books must be completed to ensure ease of access and systematic management by the school.
5. Capacity Building- Teacher Training
: The agency shall conduct a structured two-day cluster-level training program for selected teachers from all three schools. The training shall focus on effective utilization of STEM lab models, robotics kits, and interactive panels; integration of experiential and activity-based pedagogy into classroom teaching; lab safety protocols; and basic lab management practices. Training materials, handouts, and documentation of attendance and sessions must be provided as part of the deliverables.
6. Maintenance and After-Sales Support
: The agency shall provide comprehensive maintenance support for a minimum period of one year covering STEM models, robotics kits, interactive panels, and lab infrastructure components. This includes timely repair or replacement of defective items, periodic review visits, and remote or on-call technical assistance.
7. Documentation and Reporting
: The agency shall submit a detailed implementation plan and timeline prior to execution and provide completion reports upon installation, including photographs, inventory lists, warranty documents, and training reports. All documentation must be formally submitted to ChildFund India to confirm compliance with the agreed scope and quality standards.
4.
Timeline
The complete establishment and operationalization of the three SciXplore STEM Edge ICT-enabled STEM Labs shall be completed within one (1) month from the date of issuance of the work order. The selected agency shall ensure parallel execution across all three schools to meet the stipulated timeline.
5.
Schedule of Payment
The payment to the selected agency shall be released in the following tranches, subject to satisfactory completion of agreed deliverables and submission of required documentation:
20% shall be released upon signing of the contract and submission of the detailed implementation plan.
60% shall be released upon completion of lab infrastructure setup in all three schools, including installation of STEM equipment, interactive panels with LMS configuration, furniture, electrical work, decor, and submission of installation and inventory reports.
20% shall be released upon successful completion of the 2-day cluster-level teacher training, submission of training report (including attendance sheets and photographs), and formal handover of fully functional STEM labs.
6.
Confidentiality
The selected agency shall maintain strict confidentiality of all information, documents, data, reports, designs, financial details, and other materials shared by ChildFund India or generated during the course of this assignment. Such information shall be used solely for the purpose of executing the scope of work under this contract and shall not be disclosed, reproduced, or shared with any third party without prior written consent from ChildFund India.
7.
Adherence to Safeguarding Policy
ChildFund India Safeguarding Policy and Procedures will be strictly followed to safeguard children and adults while undertaking this assignment. ChildFund India has a zero-tolerance policy regarding sexual exploitation, abuse, and harassment (SEAH) and all other forms of harm by its staff, partners, and other representatives in the delivery of its mission and services for children. ChildFund India is committed to creating a safe environment in the workplace as well as in the communities where it delivers programs and services. ChildFund India expects every staff member, partner, and representative to adhere to this commitment and to ensure all organizational policies and standards are followed. Therefore, the agency must sign ChildFund India’s Safeguarding Policy along with signing the contract and adhering to the policy. As per the policy, the agency needs to follow the do-no-harm principles and strategy. Any potential effects that may appear during this assignment will be handled carefully and will need mandatory reporting to Mr. Sukhendu Santra, the Senior Specialist-Child Protection &amp; Advocacy of ChildFund India.
8.
Proposal Submission Process:
Interested agencies must submit the following documents:
Technical Proposal
highlighting the detailed implementation plan (within one-month timeline), specifications of minimum 90+ STEM models, DIY and robotics kits, details of the 64-inch interactive panel with inbuilt LMS and 2-year curriculum subscription, lab infrastructure and interior setup plan, maintenance and after-sales support (minimum 1 year), teacher training approach, and product brochures/specification sheets.
Financial Proposal
highlighting the total cost for setting up three complete STEM labs along with a detailed cost breakup covering STEM equipment, ICT components, interior works, training, maintenance, taxes, transportation, and all applicable charges.
Company profile with relevant experience, registration/incorporation certificate, PAN and GST certificates, list of similar assignments with client references, warranty and service commitment letter, and a duly signed and stamped copy of the complete proposal by the authorized signatory.
Please ensure that all mandatory documents are submitted along with the proposal and budget, as missing documents may impact the evaluation.
9.
Agency profile
The interested agency must demonstrate strong institutional capacity, technical expertise, and relevant experience in establishing STEM and ICT-enabled learning infrastructure in government schools. The profile should highlight-
6 to 8 years of experience in setting up STEM Labs, ICT Labs, or Smart Classrooms in government schools
Geographic presence and operational capacity in Rajasthan (preferred)
Technical team strength, including in-house experts for STEM, ICT installation, and training
Completion of similar assignments in the last 3–5 years with government departments, CSR partners, or educational institutions
10.
How to Apply:
Please submit your applications by e-mail to
centralpurchase2@childfundindia.org
with above highlighted documents:
Last day of submission of the proposal is 16
th
Feb 2026.
Only the shortlisted agency will be contacted for further details. For further information, please contact us at the above email.
Please do mention reference in your quotation i.e. PRA/CFI/DEL/2025-26/050
*****
Job Email ID:
centralpurchase2(at)childfundindia.org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3" s="2" t="inlineStr">
        <is>
          <t>• Scope of Work / Assignment
Under the SciXplore STEM Edge Program, ChildFund India intends to establish 3 ICT-enabled STEM Labs in selected government schools in Udaipur, Rajasthan. The selected agency will be responsible for the end-to-end design, supply, installation, training, and maintenance support required to operationalize fully functional STEM learning spaces. The scope encompasses provision of STEM lab equipment, ICT infrastructure, interior development, initial teacher capacity building, and post-installation support for maintenance of the models. The details of the components are as follows-
1
. Establishment of STEM Mini Science Lab
: The selected agency shall be responsible for supplying and installing a fully equipped STEM Mini Science Lab in each of the three identified government schools. Each lab must include a minimum of 90+ curriculum-aligned STEM models covering Physics, Chemistry, Biology, and Mathematics, along with DIY experiment kits and age-appropriate robotics kits. The agency must provide detailed experiment manuals, teacher guidebooks, student activity sheets, safety guidelines, and relevant lab posters. All materials must be durable, child-friendly, and aligned with the state curriculum. Proper cataloguing, labeling, and inventory documentation must be ensured for systematic lab management.
2. ICT Infrastructure- Interactive Panel and LMS Integration
: The agency shall supply and install a 64-inch interactive flat panel in each lab, equipped with an inbuilt Learning Management System (LMS) and digital content aligned with the state curriculum from Classes 1 to 12, with a minimum two-year subscription. The scope includes complete installation, mounting, electrical fittings, wiring, configuration, and testing to ensure seamless functionality. The agency must also provide necessary user orientation for teachers, a troubleshooting guide, and technical support within the warranty period to ensure uninterrupted usage of the ICT system.
3. STEM Lab Infrastructure and Interior Setup
: The agency shall undertake complete lab readiness, including provision and installation of wall-mounted or modular lab tables, cupboards, magnetic/white boards, PVC flooring, and necessary electrical fittings. The room must be painted and developed with STEM-themed decor to create a vibrant and engaging learning environment aligned with ChildFund India’s branding guidelines. The infrastructure setup should ensure safe movement space for students, organized storage of materials, adequate lighting, and compliance with basic safety standards. The lab must be handed over in fully operational condition.
4. STEM Hanging Library
: The agency shall provide hanging or space-efficient library units within each lab and supply a curated collection of STEM-focused books suitable for different grade levels. The books should promote inquiry-based learning, scientific thinking, and innovation. Proper indexing and cataloguing of books must be completed to ensure ease of access and systematic management by the school.
5. Capacity Building- Teacher Training
: The agency shall conduct a structured two-day cluster-level training program for selected teachers from all three schools. The training shall focus on effective utilization of STEM lab models, robotics kits, and interactive panels; integration of experiential and activity-based pedagogy into classroom teaching; lab safety protocols; and basic lab management practices. Training materials, handouts, and documentation of attendance and sessions must be provided as part of the deliverables.
6. Maintenance and After-Sales Support
: The agency shall provide comprehensive maintenance support for a minimum period of one year covering STEM models, robotics kits, interactive panels, and lab infrastructure components. This includes timely repair or replacement of defective items, periodic review visits, and remote or on-call technical assistance.
7. Documentation and Reporting
: The agency shall submit a detailed implementation plan and timeline prior to execution and provide completion reports upon installation, including photographs, inventory lists, warranty documents, and training reports. All documentation must be formally submitted to ChildFund India to confirm compliance with the agreed scope and quality standards.
4.
Timeline
The complete establishment and operationalization of the three SciXplore STEM Edge ICT-enabled STEM Labs shall be completed within one (1) month from the date of issuance of the work order. The selected agency shall ensure parallel execution across all three schools to meet the stipulated timeline.
5.
Schedule of Payment
The payment to the selected agency shall be released in the following tranches, subject to satisfactory completion of agreed deliverables and submission of required documentation:
20% shall be released upon signing of the contract and submission of the detailed implementation plan.
60% shall be released upon completion of lab infrastructure setup in all three schools, including installation of STEM equipment, interactive panels with LMS configuration, furniture, electrical work, decor, and submission of installation and inventory reports.
20% shall be released upon successful completion of the 2-day cluster-level teacher training, submission of training report (including attendance sheets and photographs), and formal handover of fully functional STEM labs.
6.
Confidentiality
• The selected agency shall maintain strict confidentiality of all information, documents, data, reports, designs, financial details, and other materials shared by ChildFund India or generated during the course of this assignment. Such information shall be used solely for the purpose of executing the scope of work under this contract and shall not be disclosed, reproduced, or shared with any third party without prior written consent from ChildFund India.
7.
Adherence to Safeguarding Policy
ChildFund India Safeguarding Policy and Procedures will be strictly followed to safeguard children and adults while undertaking this assignment. ChildFund India has a zero-tolerance policy regarding sexual exploitation, abuse, and harassment (SEAH) and all other forms of harm by its staff, partners, and other representatives in the delivery of its mission and services for children. ChildFund India is committed to creating a safe environment in the workplace as well as in the communities where it delivers programs and services. ChildFund India expects every staff member, partner, and representative to adhere to this commitment and to ensure all organizational policies and standards are followed. Therefore, the agency must sign ChildFund India’s Safeguarding Policy along with signing the contract and adhering to the policy. As per the policy, the agency needs to follow the do-no-harm principles and strategy. Any potential effects that may appear during this assignment will be handled carefully and will need mandatory reporting to Mr. Sukhendu Santra, the Senior Specialist-Child Protection &amp; Advocacy of ChildFund India.
8.
Proposal Submission Process:
Interested agencies must submit the following documents:
Technical Proposal
highlighting the detailed implementation plan (within one-month timeline), specifications of minimum 90+ STEM models, DIY and robotics kits, details of the 64-inch interactive panel with inbuilt LMS and 2-year curriculum subscription, lab infrastructure and interior setup plan, maintenance and after-sales support (minimum 1 year), teacher training approach, and product brochures/specification sheets.
Financial Proposal
highlighting the total cost for setting up three complete STEM labs along with a detailed cost breakup covering STEM equipment, ICT components, interior works, training, maintenance, taxes, transportation, and all applicable charges.
Company profile with relevant experience, registration/incorporation certificate, PAN and GST certificates, list of similar assignments with client references, warranty and service commitment letter, and a duly signed and stamped copy of the complete proposal by the authorized signatory.
Please ensure that all mandatory documents are submitted along with the proposal and budget, as missing documents may impact the evaluation.
9.
Agency profile
The interested agency must demonstrate strong institutional capacity, technical expertise, and relevant experience in establishing STEM and ICT-enabled learning infrastructure in government schools. The profile should highlight-
6 to 8 years of experience in setting up STEM Labs, ICT Labs, or Smart Classrooms in government schools
Geographic presence and operational capacity in Rajasthan (preferred)
Technical team strength, including in-house experts for STEM, ICT installation, and training
Completion of similar assignments in the last 3–5 years with government departments, CSR partners, or educational institutions
10.
• How to Apply:
Please submit your applications by e-mail to
centralpurchase2@childfundindia.org
with above highlighted documents:
Last day of submission of the proposal is 16
th
Feb 2026.
Only the shortlisted agency will be contacted for further details. For further information, please contact us at the above email.
Please do mention reference in your quotation i.e. PRA/CFI/DEL/2025-26/050
*****
• Job Email ID:
centralpurchase2(at)childfundindia.org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3" s="1" t="inlineStr">
        <is>
          <t>Learning, Safety</t>
        </is>
      </c>
      <c r="G3" s="1" t="inlineStr">
        <is>
          <t>16-02-2026</t>
        </is>
      </c>
      <c r="H3" s="1" t="n">
        <v>0</v>
      </c>
      <c r="I3" s="1">
        <f>HYPERLINK("https://www.devnetjobsindia.org/JobDescription.aspx?Job_Id=287058","RFQ - Set up STEM Mini Science Lab and Training of Teachers and SMC Members")</f>
        <v/>
      </c>
    </row>
    <row r="4">
      <c r="A4" s="1" t="inlineStr">
        <is>
          <t>DevNetJobsIndia</t>
        </is>
      </c>
      <c r="B4" s="1" t="inlineStr"/>
      <c r="C4" s="1" t="inlineStr">
        <is>
          <t>RFP - Hiring Agency to develop data protection policy, SOPs, and various d...</t>
        </is>
      </c>
      <c r="D4" s="2" t="inlineStr">
        <is>
          <t>Jhpiego | India
International Development - RFP - Hiring Agency to develop data protection policy, SOPs, and various documents &amp; templates to comply with the new Digital Personal Data Privacy..., Jhpiego, India - DevNetJobsIndia.org
Jobseekers:
Login
|
Register
Home
Value Membership
Broadcast Resume
RFPs/Tenders
Search Jobs
Events
Jobseekers:
Login
|
Register
Jobseekers Login
Jobseekers Register
Job ID:
285791
RFP - Hiring Agency to develop data protection policy, SOPs, and various documents &amp; templates to comply with the new Digital Personal Data Privacy...
Jhpiego
Location:
India
Apply by:
16 Feb 2026
Relevant Sectors
Infrastructure, Technology, Engineering, Science
Jhpiego Corporation, India
R
E
Q
U
E
S
TF
O
R
PROPOSAL   (RFP)
SUBJECT: Hiring Agency to develop   data protection policy, SOPs, and various documents &amp; templates to comply
with the new Digital Personal   Data Privacy Law in India
ISSUE DATE: February 6,   2026
SUBMISSION DEADLINE:
February 16, 2026
SUBMISSION ADDRESS:
jhpin.procurement@jhpiego.org
(For submission of proposals)
Email:
Ankur.Bhardwaj
@jhpiego.org
(For queries only)
Office Telephone
:
Tel: +91 11   49575100
Pre – Bid Meeting – 12 February 2026 3.00 PM to 3.30 PM
Microsoft   Teams meeting
Join:
https://teams.microsoft.com/meet/25052841069418?p=HOQyEz1t8XNW0T5rx5
Meeting   ID: 250 528 410 694 18
Passcode:   z9bo6w6R
BID OPENING: - February 16, 2026
AWARD /START DATE (selection of partner)- March 10
, 2026 (tentative)
About   Jhpiego:
Jhpiego is a nonprofit global health leader and Johns Hopkins   University affiliate that is saving lives, improving health, and transforming   futures. We partner with governments, health experts and local communities to   build the skills and systems that guarantee a healthier future for women and   families. Jhpiego translates the best science and practice into moments of   care that can mean the difference between life and death for women and   families. The moment a woman gives birth; the moment a midwife helps a newborn   to breath. Through our partnerships, we are revolutionizing health care for   the world’s most disadvantaged and vulnerable people.
In India, Jhpiego works across various states in close collaboration   with national and state governments, providing technical assistance in the   areas of family planning, maternal and child health, strengthening human   resources for health, and non-communicable diseases. These programs are   funded by Takeda Pharmaceutical Company Limited, Unitaid, UNICEF, World   Health Organization, University of Manitoba, Bill &amp; Melinda Gates   Foundation, Children’s Investment Fund Foundation (CIFF), MSD for Mothers and   others. Multiple programs implemented by Jhpiego with different state   governments are having specific learning agenda and objectives. Each program   involves wide range of data collection in various implementation geographies   across India.
Preferred vendor:   None
This RFP includes following:
Section 1 - Information   to bidders
Section 2 - Technical   Proposal - Standard Template
Section 3 - Financial   Proposal - Standard Template
Section 4 - Scope of Work
Section 5 –
Vendor Information Form– Standard   Template
Section 6 - Standard   Template of Technical Service Contract
For detailed information, please check the complete version of the RFP attached below.
Job Email ID:
jhpin.procurement(at)jhpiego.org
Download Attachment:
RFP Hiring Agency to develop data protection policy SOPs and documents  template-FINAL.pdf
Download Attachment:
Pre-bid meeting.doc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4" s="2" t="inlineStr">
        <is>
          <t>• Section 4 - Scope of Work
Section 5 –
Vendor Information Form– Standard   Template
Section 6 - Standard   Template of Technical Service Contract
For detailed information, please check the complete version of the RFP attached below.
• Job Email ID:
jhpin.procurement(at)jhpiego.org
Download Attachment:
RFP Hiring Agency to develop data protection policy SOPs and documents  template-FINAL.pdf
Download Attachment:
Pre-bid meeting.doc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4" s="1" t="inlineStr">
        <is>
          <t>Governance, Safety</t>
        </is>
      </c>
      <c r="G4" s="1" t="inlineStr">
        <is>
          <t>16-02-2026</t>
        </is>
      </c>
      <c r="H4" s="1" t="n">
        <v>0</v>
      </c>
      <c r="I4" s="1">
        <f>HYPERLINK("https://www.devnetjobsindia.org/JobDescription.aspx?Job_Id=285791","RFP - Hiring Agency to develop data protection policy, SOPs, and various d...")</f>
        <v/>
      </c>
    </row>
    <row r="5">
      <c r="A5" s="1" t="inlineStr">
        <is>
          <t>DevNetJobsIndia</t>
        </is>
      </c>
      <c r="B5" s="1" t="inlineStr"/>
      <c r="C5" s="1" t="inlineStr">
        <is>
          <t>RFP - Proposal for Digital Learning Centres – School Program</t>
        </is>
      </c>
      <c r="D5" s="2" t="inlineStr">
        <is>
          <t>Lords Education and Health Society (LEHS) | India
International Development - RFP - Proposal for Digital Learning Centres – School Program, Lords Education and Health Society (LEHS), India - DevNetJobsIndia.org
Jobseekers:
Login
|
Register
Home
Value Membership
Broadcast Resume
RFPs/Tenders
Search Jobs
Events
Jobseekers:
Login
|
Register
Jobseekers Login
Jobseekers Register
Job ID:
285822
RFP - Proposal for Digital Learning Centres – School Program
Lords Education and Health Society (LEHS)
Location:
India
Apply by:
16 Feb 2026
Relevant Sectors
Capacity Building, Training, Advocacy
Communications, IT, Media, Knowledge Management, Editor
Social, Gender, Education, Youth, Child
REQUEST FOR PROPOSAL (RFP)
Proposal for Digital Learning Centres – School Program
Opening date of RFP: 06/02/2026
Closing Date of RFP: 16/02/2026 – 23:59 hours
I.
INTRODUCTION
LEHS is a charitable organization in India with the objective of advancing inclusive development across healthcare, education, agriculture, and governance. The Capacity Building vertical at Wadhwani AI, LEHS is launching a collaborative initiative to ensure students in underserved communities are equipped with the skills to thrive in a rapidly changing, technology-driven world.
This program, by working with government schools in Gujarat, will leverage its reach to introduce AI education to students who are most at risk of being left behind.
The workshops will consist of structured AI learning pathways for students in government schools in Gujarat, with opportunities for deeper skill-building for high-potential learners.
The objective of this RFP is to select a vendor who can procure and provide items for
the establishment of Digital Learning Centres (DLCs) in five school campuses across Ahmedabad and Gandhinagar in addition to the AI Skills for Schools program launched earlier this year, to provide structured access to computers, licensed productivity software, and supervised AI learning tools.
Each centre will function as a hub for digital literacy, AI-assisted research, and technology-enabled classroom learning.
The program combines infrastructure, software access, teacher training, and operational SOPs to ensure sustainable and responsible use. The model emphasizes equity, safe AI adoption, and measurable learning outcomes.
The vendor will be responsible for
end-to-end sourcing, procurement, quality assurance, delivery and installation of hardware, software and allied infrastructure supporting the Digital Learning Centre.
II.
Per-School Lab Model
Per School Infrastructure will include the following components:
Personal Computers per school  with mouse + keyboard + mousepad sets
Reference Model: HP All-in-One 24
Installation &amp; configuration with 3-year maintenance support
Pre-installed Microsoft Office lifelong productivity suite (education licensing)
WiFi infrastructure &amp; cabling with high-performance routers, switches.
The vendor is also responsible for the installation and configuration by in-house or external IT support teams across five campuses.
V.
Submission   Instructions
Submission Email:
rfp.lehs@wadhwaniai.org
All documents should be in PDF format.
Subject line of the email:
“Proposal for Digital Learning Centres – School Program [Bidder Name]”
Submission Deadline
: [16/02/2026 at 23:59 Hours]
Any proposals received by LEHS after the deadline for submission of proposals prescribed in the RFP are liable to be rejected.
For detailed information, please check the complete version of the RFP attached below.
Download Attachment:
RFP-Proposal for Digital Learning Centres - School Program.pdf
View Similar Jobs:
Was this job of interest to you? Subscribe to Value Membership to get access to similar jobs and hundreds of other member-only jobs.
Subscribe
Apply by:
16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5" s="2" t="inlineStr">
        <is>
          <t>N/A</t>
        </is>
      </c>
      <c r="F5" s="1" t="inlineStr">
        <is>
          <t>Learning, Safety</t>
        </is>
      </c>
      <c r="G5" s="1" t="inlineStr">
        <is>
          <t>16-02-2026</t>
        </is>
      </c>
      <c r="H5" s="1" t="n">
        <v>0</v>
      </c>
      <c r="I5" s="1">
        <f>HYPERLINK("https://www.devnetjobsindia.org/JobDescription.aspx?Job_Id=285822","RFP - Proposal for Digital Learning Centres – School Program")</f>
        <v/>
      </c>
    </row>
    <row r="6">
      <c r="A6" s="1" t="inlineStr">
        <is>
          <t>DevNetJobsIndia</t>
        </is>
      </c>
      <c r="B6" s="1" t="inlineStr"/>
      <c r="C6" s="1" t="inlineStr">
        <is>
          <t>RFP - River Health and Water Dependency Assessment Betwa River Basin</t>
        </is>
      </c>
      <c r="D6" s="2" t="inlineStr">
        <is>
          <t>Parmarth Samaj Sevi Sansthan | India
International Development - RFP - River Health and Water Dependency Assessment  Betwa River Basin, Parmarth Samaj Sevi Sansthan, India - DevNetJobsIndia.org
Jobseekers:
Login
|
Register
Home
Value Membership
Broadcast Resume
RFPs/Tenders
Search Jobs
Events
Jobseekers:
Login
|
Register
Jobseekers Login
Jobseekers Register
Job ID:
285964
RFP - River Health and Water Dependency Assessment  Betwa River Basin
Parmarth Samaj Sevi Sansthan
Location:
India
Apply by:
17 Feb 2026
Relevant Sectors
Environment, Climate, Energy, Water, Sanitation
Monitoring, Evaluation, Policy, Research
Request for Proposal (RFP)
River Health and Water Dependency Assessment
Betwa River Basin
Date Issued:
09 February 2025
Proposal Submission Deadline:
17 February 2026
Contact Person &amp; Contact Number:
Ms. Shivani Singh, Ph: 8808506470,
Email:
helpdesk.parmarth@parmarthsanstha.in
and CC to
shivanisingh.psss@gmail.com
(For queries; please contact for official email if needed)
About Parmarth Samaj Sevi Sansthan (PSSS)
Established in 1996, Parmarth Samaj Sevi Sansthan (PSSS) is a grassroots nonprofit organization working on water security, river conservation, climate resilience, and community-led governance across the Bundelkhand region of Uttar Pradesh and Madhya Pradesh.
Over nearly three decades, PSSS has worked in more than 1,000 villages, revitalizing traditional water bodies, constructing conservation structures, strengthening local water institutions, and promoting women-led initiatives such as the Jal Saheli cadre. The organization collaborates closely with communities, local governments, and state agencies to promote sustainable and equitable water management.
PSSS now invites proposals from experienced research institutions, consulting agencies, or individual experts to undertake a River Health and Water Dependency Assessment of the Betwa River Basin.
Purpose of the Study
The purpose of this research is to develop a clear, evidence-based understanding of long-term changes in water dependency, river flow, climate stress, and overall river health in the Betwa River Basin.
The study will provide a baseline, evidence-based assessment of the river’s condition, pressures, and risks, and will generate actionable insights to support river restoration, basin-level water management, advocacy, and policy decision-making.
Key Research Focus Areas
The study will focus on the following core areas:
Trends in water dependency on the Betwa River across sectors over the last 20 years.
Impacts of climate variability, drought frequency, and rainfall patterns on river flow and seasonal availability.
Balance between water availability and demand, and types of emerging scarcity.
Overall river health across different stretches, including flow alterations, morphology, and ecology.
Water quality status, pollution loads, sources, and critical degradation hotspots.
Effectiveness of existing programs, governance mechanisms, and institutional arrangements, and identification of basin-appropriate solutions.
Scope of Work
The selected research agency/institution will be responsible for:
Long-term climate and drought trend analysis.
Hydrological assessment of river flow regimes.
Sector-wise water dependency analysis (agriculture, domestic, drinking water).
Water availability versus demand assessment.
Water quality and pollution load assessment.
Identification of degradation hotspots.
Review of governance and program effectiveness.
Development of an integrated river health assessment.
Preparation of solution-oriented recommendations for basin sustainability.
Expected Deliverables
Inception report with detailed methodology.
Climate and drought trend analysis.
River flow and dependency assessment.
Water quality and pollution load assessment.
Demand–supply gap analysis.
Stretch-wise river health classification and hotspot mapping.
Draft comprehensive research report.
Final research report.
Policy-ready summary and presentation.
Eligibility Criteria
Applicants must demonstrate:
Proven experience in river basin studies, hydrology, climate research, or water governance.
Prior work on river flow, drought, or water balance assessments.
Experience with multidisciplinary teams (hydrologists, climate experts, water quality specialists).
Submission Requirements
Interested agencies/institutions must submit:
1. Technical Proposal
Understanding of the assignment.
Proposed methodology.
Work plan and timelines.
Team composition and CVs.
Organizational profile and relevant experience.
2. Financial Proposal
Itemized budget breakdown.
Personnel costs.
Fieldwork and travel expenses.
Data analysis and reporting costs.
Applicable taxes and other charges.
Note:
Technical and Financial proposals must be submitted in separate files.
Submission Details
Proposals must be submitted via email before the deadline.
Proposal Submission Deadline:
17 February 2026
Late submissions will not be considered.
For detailed information, please check the complete version of the RFP attached below.
Download Attachment:
Betwa_REQUEST FOR PROPOSAL.pdf
View Similar Jobs:
Was this job of interest to you? Subscribe to Value Membership to get access to similar jobs and hundreds of other member-only jobs.
Subscribe
Apply by:
17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6" s="2" t="inlineStr">
        <is>
          <t>• Scope of Work
The selected research agency/institution will be responsible for:
Long-term climate and drought trend analysis.
Hydrological assessment of river flow regimes.
Sector-wise water dependency analysis (agriculture, domestic, drinking water).
Water availability versus demand assessment.
Water quality and pollution load assessment.
Identification of degradation hotspots.
Review of governance and program effectiveness.
Development of an integrated river health assessment.
Preparation of solution-oriented recommendations for basin sustainability.
Expected Deliverables
Inception report with detailed methodology.
Climate and drought trend analysis.
River flow and dependency assessment.
Water quality and pollution load assessment.
Demand–supply gap analysis.
Stretch-wise river health classification and hotspot mapping.
Draft comprehensive research report.
Final research report.
Policy-ready summary and presentation.
• Eligibility Criteria
Applicants must demonstrate:
Proven experience in river basin studies, hydrology, climate research, or water governance.
Prior work on river flow, drought, or water balance assessments.
Experience with multidisciplinary teams (hydrologists, climate experts, water quality specialists).
Submission Requirements
Interested agencies/institutions must submit:
1. Technical Proposal
Understanding of the assignment.
Proposed methodology.
Work plan and timelines.
Team composition and CVs.
• Organizational profile and relevant experience.
2. Financial Proposal
Itemized budget breakdown.
Personnel costs.
Fieldwork and travel expenses.
Data analysis and reporting costs.
Applicable taxes and other charges.
Note:
Technical and Financial proposals must be submitted in separate files.
• Submission Details
Proposals must be submitted via email before the deadline.
Proposal Submission Deadline:
17 February 2026
Late submissions will not be considered.
For detailed information, please check the complete version of the RFP attached below.
Download Attachment:
Betwa_REQUEST FOR PROPOSAL.pdf
View Similar Jobs:
Was this job of interest to you? Subscribe to Value Membership to get access to similar jobs and hundreds of other member-only jobs.
Subscribe
Apply by:
17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6" s="1" t="inlineStr">
        <is>
          <t>Safety</t>
        </is>
      </c>
      <c r="G6" s="1" t="inlineStr">
        <is>
          <t>17-02-2026</t>
        </is>
      </c>
      <c r="H6" s="1" t="n">
        <v>1</v>
      </c>
      <c r="I6" s="1">
        <f>HYPERLINK("https://www.devnetjobsindia.org/JobDescription.aspx?Job_Id=285964","RFP - River Health and Water Dependency Assessment Betwa River Basin")</f>
        <v/>
      </c>
    </row>
    <row r="7">
      <c r="A7" s="1" t="inlineStr">
        <is>
          <t>DevNetJobsIndia</t>
        </is>
      </c>
      <c r="B7" s="1" t="inlineStr"/>
      <c r="C7" s="1" t="inlineStr">
        <is>
          <t>SOW - Designing &amp; Typing Work</t>
        </is>
      </c>
      <c r="D7" s="2" t="inlineStr">
        <is>
          <t>Room to Read India | India
International Development - SOW -  Designing &amp; Typing Work, Room to Read India, India - DevNetJobsIndia.org
Jobseekers:
Login
|
Register
Home
Value Membership
Broadcast Resume
RFPs/Tenders
Search Jobs
Events
Jobseekers:
Login
|
Register
Jobseekers Login
Jobseekers Register
Job ID:
285988
SOW -  Designing &amp; Typing Work
Room to Read India
Location:
India
Apply by:
18 Feb 2026
Relevant Sectors
Communications, IT, Media, Knowledge Management, Editor
Infrastructure, Technology, Engineering, Science
Scope of Work (SOW) Designing &amp; Typing Work
About Room to Read
Room to Read is a global organization transforming the lives of millions of children in low-income communities by focusing on literacy and gender equality in education. Founded in 2000 on the belief that World Change Starts with Educated Children®, our innovative model focuses on deep, systemic transformation within schools during two time periods that are most critical in a child’s schooling: early primary school for literacy acquisition and secondary school for girls’ education. We work in collaboration with local communities, partner organizations, and governments to develop literacy skills and a habit of reading among primary school children and ensure girls can complete secondary school with the skills necessary to negotiate key life decisions.
Room to Read has benefited 16.8 million children across 38,000 communities in Asia and Africa.
Overview of designing &amp; typing work
The primary goal of designing writing, and typing instructional and library materials is to provide high-quality learning resources for children.
Teachers will use these materials with children during the instruction class and library sessions, hence, dynamic, colorful, and illustrative pictures which support children’s understanding and engagement with stories.
Key Deliverables
Page designing and page-setting for text based Instruction Material, including Teacher guide, Student workbook, Manuals, Registers, Diaries, and other related materials.
Colour page design and page setting for learning materials such as Tarang workbook, worksheets, Booklets, and manuals.
Page designing and page-setting for Balvatika Instruction Material like Teacher guide, student workbook, and other curricular materials under the program.
Revision and correction work for existing instruction material. (Work on revisions and corrections in contents/designs only)
Design of creative communication materials under the Literacy program, including creative flayers, templates, posters and other materials under the Literacy Program
.
Special projects:
To be taken up as and when required apart from this scope related to designing.
Key Specifications
Google fonts to be used which can work both in print and digital (websites).
Copy the translated text (in each language) from the word document and paste it appropriately on the design files.
Ensure that the alignment and placement of images is done appropriately.
Ensure all images/illustrations are high resolution and in CMYK.
Ensure all images/illustrations have bleed where needed.
Ensure edition and number of copies has been changed as per the information provided.
Ensure new Room to Read logo to be inserted in all files.
All files to be named as per GO naming convention.
All files to be packaged as per GO folder structure requirement and includes: IDML, instructions, PDFs (low resolution and high resolution), fonts, links.
There will at least four rounds of feedback before approving the final content.
Press ready files to be delivered with the final package.
As per the requirement, the vendor or the designer will be asked to work in Room to Read premises. The travel for this will not be reimbursed.
Final print ready files along with supporting InDesign files, idml files, low-res and high- res pdf with cut mark, links and other materials.
Duration Will Be Discussed As And When The Project Is Handed Over Contract
Considering the projects mentioned in the SOW, there might be a possibility of/or we will be splitting the work/projects amongst different vendors considering the timeframe required to complete all the assignments within the given timelines. The vendor will be informed well in advance about the assignment that He/She will be getting.
Experiences Needed for Assignment:
Experience in InDesign, Adobe Acrobat, Photoshop.
Creativity and innovation are a must.
Ability to work independently and meet the given deadlines and adhere to the RtR guidelines.
Technical Evaluation Criteria For The Agency/Consultant
The agency will be evaluated based on a total score of 30 points across the given parameters. Each parameter will contribute 10 points.
The technical proposal will be assessed based on the following criteria:
Demonstrated Experience: Evaluation of the agency's past experience in design and layout of content specifically tailored for children.
Timelines: Ability to meet timelines around design work.
Flexibility: Evaluation of the agency’s portfolio to see the varieties of content they have worked on.
Contract Duration:
This contract will be valid from 8
th
March 2026, to 31st December 2026.
HOW TO APPLY
Proposals are invited from the interested agency for the above assignment and the last date for receiving the proposal is
18
th
February, 2026
at
procurement.india@roomtoread.org
[do not copy anyone from RtR]
Kindly submit the proposal via emails with following subject lines:
EMAIL: TECHNICAL PROPOSAL – Designing &amp; Typing Work
A technical proposal which will outline the way this assignment will be approached.
Cite relevant work experience and samples of work
Detailed CV of all the consultants involved in this project
Read the ToR thoroughly before applying.
Only Shortlisted agencies will be contacted and might be called for a face-to-face interaction with the panel.
Any incomplete application or process deviation, the proposals will automatically be rejected.
Proposals received after the prescribed deadline will not be considered.
Selected Consultant/agency will be required to sign and abide by the Child Protection policy of Room to Read.
The TDS will be applicable on the consultancy fee.
For queries, please contact:
Kailash Vaishnav
Kailash.vaishnav@roomtoread.org
Job Email ID:
procurement.india(at)roomtoread.org
Download Attachment:
Advertisement.doc
View Similar Jobs:
Was this job of interest to you? Subscribe to Value Membership to get access to similar jobs and hundreds of other member-only jobs.
Subscribe
Apply by:
18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7" s="2" t="inlineStr">
        <is>
          <t>• Scope of Work (SOW) Designing &amp; Typing Work
About Room to Read
Room to Read is a global organization transforming the lives of millions of children in low-income communities by focusing on literacy and gender equality in education. Founded in 2000 on the belief that World Change Starts with Educated Children®, our innovative model focuses on deep, systemic transformation within schools during two time periods that are most critical in a child’s schooling: early primary school for literacy acquisition and secondary school for girls’ education. We work in collaboration with local communities, partner organizations, and governments to develop literacy skills and a habit of reading among primary school children and ensure girls can complete secondary school with the skills necessary to negotiate key life decisions.
Room to Read has benefited 16.8 million children across 38,000 communities in Asia and Africa.
Overview of designing &amp; typing work
The primary goal of designing writing, and typing instructional and library materials is to provide high-quality learning resources for children.
Teachers will use these materials with children during the instruction class and library sessions, hence, dynamic, colorful, and illustrative pictures which support children’s understanding and engagement with stories.
Key Deliverables
Page designing and page-setting for text based Instruction Material, including Teacher guide, Student workbook, Manuals, Registers, Diaries, and other related materials.
Colour page design and page setting for learning materials such as Tarang workbook, worksheets, Booklets, and manuals.
Page designing and page-setting for Balvatika Instruction Material like Teacher guide, student workbook, and other curricular materials under the program.
Revision and correction work for existing instruction material. (Work on revisions and corrections in contents/designs only)
Design of creative communication materials under the Literacy program, including creative flayers, templates, posters and other materials under the Literacy Program
.
Special projects:
To be taken up as and when required apart from this scope related to designing.
Key Specifications
Google fonts to be used which can work both in print and digital (websites).
Copy the translated text (in each language) from the word document and paste it appropriately on the design files.
Ensure that the alignment and placement of images is done appropriately.
Ensure all images/illustrations are high resolution and in CMYK.
Ensure all images/illustrations have bleed where needed.
Ensure edition and number of copies has been changed as per the information provided.
Ensure new Room to Read logo to be inserted in all files.
All files to be named as per GO naming convention.
All files to be packaged as per GO folder structure requirement and includes: IDML, instructions, PDFs (low resolution and high resolution), fonts, links.
There will at least four rounds of feedback before approving the final content.
Press ready files to be delivered with the final package.
As per the requirement, the vendor or the designer will be asked to work in Room to Read premises. The travel for this will not be reimbursed.
Final print ready files along with supporting InDesign files, idml files, low-res and high- res pdf with cut mark, links and other materials.
Duration Will Be Discussed As And When The Project Is Handed Over Contract
Considering the projects mentioned in the SOW, there might be a possibility of/or we will be splitting the work/projects amongst different vendors considering the timeframe required to complete all the assignments within the given timelines. The vendor will be informed well in advance about the assignment that He/She will be getting.
Experiences Needed for Assignment:
Experience in InDesign, Adobe Acrobat, Photoshop.
Creativity and innovation are a must.
Ability to work independently and meet the given deadlines and adhere to the RtR guidelines.
• Technical Evaluation Criteria For The Agency/Consultant
The agency will be evaluated based on a total score of 30 points across the given parameters. Each parameter will contribute 10 points.
The technical proposal will be assessed based on the following criteria:
Demonstrated Experience: Evaluation of the agency's past experience in design and layout of content specifically tailored for children.
Timelines: Ability to meet timelines around design work.
Flexibility: Evaluation of the agency’s portfolio to see the varieties of content they have worked on.
Contract Duration:
This contract will be valid from 8
th
March 2026, to 31st December 2026.
• HOW TO APPLY
Proposals are invited from the interested agency for the above assignment and the last date for receiving the proposal is
18
th
February, 2026
at
procurement.india@roomtoread.org
[do not copy anyone from RtR]
Kindly submit the proposal via emails with following subject lines:
EMAIL: TECHNICAL PROPOSAL – Designing &amp; Typing Work
A technical proposal which will outline the way this assignment will be approached.
Cite relevant work experience and samples of work
Detailed CV of all the consultants involved in this project
Read the ToR thoroughly before applying.
Only Shortlisted agencies will be contacted and might be called for a face-to-face interaction with the panel.
Any incomplete application or process deviation, the proposals will automatically be rejected.
Proposals received after the prescribed deadline will not be considered.
Selected Consultant/agency will be required to sign and abide by the Child Protection policy of Room to Read.
The TDS will be applicable on the consultancy fee.
For queries, please contact:
Kailash Vaishnav
Kailash.vaishnav@roomtoread.org
• Job Email ID:
procurement.india(at)roomtoread.org
Download Attachment:
Advertisement.doc
View Similar Jobs:
Was this job of interest to you? Subscribe to Value Membership to get access to similar jobs and hundreds of other member-only jobs.
Subscribe
Apply by:
18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7" s="1" t="inlineStr">
        <is>
          <t>Safety</t>
        </is>
      </c>
      <c r="G7" s="1" t="inlineStr">
        <is>
          <t>18-02-2026</t>
        </is>
      </c>
      <c r="H7" s="1" t="n">
        <v>2</v>
      </c>
      <c r="I7" s="1">
        <f>HYPERLINK("https://www.devnetjobsindia.org/JobDescription.aspx?Job_Id=285988","SOW - Designing &amp; Typing Work")</f>
        <v/>
      </c>
    </row>
    <row r="8">
      <c r="A8" s="1" t="inlineStr">
        <is>
          <t>DevNetJobsIndia</t>
        </is>
      </c>
      <c r="B8" s="1" t="inlineStr"/>
      <c r="C8" s="1" t="inlineStr">
        <is>
          <t>RFP - for the Upgrade and Strengthen Essential Health Infrastructure Inclu...</t>
        </is>
      </c>
      <c r="D8" s="2" t="inlineStr">
        <is>
          <t>Project Concern International India (PCI India) | India
International Development - RFP - for the Upgrade and Strengthen Essential Health Infrastructure Including Civil Works, Renovation and Refurbishment of Primary Health Centres, Project Concern International India (PCI India), India - DevNetJobsIndia.org
Jobseekers:
Login
|
Register
Home
Value Membership
Broadcast Resume
RFPs/Tenders
Search Jobs
Events
Jobseekers:
Login
|
Register
Jobseekers Login
Jobseekers Register
Job ID:
285516
RFP - for the Upgrade and Strengthen Essential Health Infrastructure Including Civil Works, Renovation and Refurbishment of Primary Health Centres
Project Concern International India (PCI India)
Location:
India
Apply by:
19 Feb 2026
Relevant Sectors
Administration, HR, Management, Accounting/Finance
Health, Doctors, Nurses, HIV/AIDS, Nutrition
Infrastructure, Technology, Engineering, Science
REQUEST
FOR
PROPOSAL (RFP)
REQUEST FOR PROPOSAL (TECHNICAL) for the Upgrade and Strengthen Essential Health Infrastructure Including Civil Works, Renovation and Refurbishment of Primary Health Centres in Northeastern States
DATEOFSOLICITATION:
31
ST
JANUARY 2026
RFP No.
PCI/RFP/2025-26/0028
About Project Concern International India (PCI
India)
Project Concern International (PCI) India,
a registered society under the Society Registrations Act, has been working in India since 1998. With the vision of building a happy, healthy, safe, and sustainable world for all, PCI deploys community mobilization strategies to co-create and scale sustainable solutions to complex social issues and improve development outcomes. Currently, we have presence in more than 17 states, directly reaching out to millions through our interventions focused on health, nutrition, women economic empowerment, gender, adolescents, social protection, and emergency response.
Please visit our website to learn more about our values, mission, vision and our work in India.
The following table brings out the dates for the main events of the bidding process for this RFP. The Bidder shouldnotethat PCI reserves therighttochangethesedates withoutassigning any reason atany stage of the bidding process.
Important
information
and
dates
Information
Details
Nameofthe
Assignment
REQUEST   FOR PROPOSAL (TECHNICAL) FOR THE UPGRADE AND STRENGTHEN ESSENTIAL HEALTH   INFRASTRUCTURE INCLUDING CIVIL WORKS, RENOVATION AND REFURBISHMENT OF PRIMARY   HEALTH CENTRES IN NORTHEASTERN STATES
DateofPublishing
RFP
31
st
January 2026
SeekClarifications/Queriesif
Any
6
th
February 2026
Replyto
Queries
9
th
February 2026
LastDateforSubmissionof
Technical Proposal
19th February 2026
Proposalstobesubmitted
at
procdelhi@pciglobal.in
Receiptof
Proposals
This   is a two-stage bidding process, only Technical Proposal along with   pre-qualification documents is invited at this 1
st
stage of RFP.
This   is to be submitted in a single email.
No Financial costs should be shared at this stage.
Note
: Due to variations in site conditions and the absence of finalized drawings, detailed Scope of Work (SoW) and Bill of Quantities (BoQ) are not available at this stage. Accordingly, this RFP seeks technical proposals to assess the bidders’ understanding, methodology, and technical capability. Financial proposals shall be invited at a later stage only from technically qualified bidders.
For detailed information, please check the complete version of the RFP attached below.
Job Email ID:
procdelhi(at)pciglobal.in
Download Attachment:
RFP - 0028.doc
View Similar Jobs:
Was this job of interest to you? Subscribe to Value Membership to get access to similar jobs and hundreds of other member-only jobs.
Subscribe
Apply by:
19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8" s="2" t="inlineStr">
        <is>
          <t>• : Due to variations in site conditions and the absence of finalized drawings, detailed Scope of Work (SoW) and Bill of Quantities (BoQ) are not available at this stage. Accordingly, this RFP seeks technical proposals to assess the bidders’ understanding, methodology, and technical capability. Financial proposals shall be invited at a later stage only from technically qualified bidders.
For detailed information, please check the complete version of the RFP attached below.
• Job Email ID:
procdelhi(at)pciglobal.in
Download Attachment:
RFP - 0028.doc
View Similar Jobs:
Was this job of interest to you? Subscribe to Value Membership to get access to similar jobs and hundreds of other member-only jobs.
Subscribe
Apply by:
19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8" s="1" t="inlineStr">
        <is>
          <t>Safety</t>
        </is>
      </c>
      <c r="G8" s="1" t="inlineStr">
        <is>
          <t>19-02-2026</t>
        </is>
      </c>
      <c r="H8" s="1" t="n">
        <v>3</v>
      </c>
      <c r="I8" s="1">
        <f>HYPERLINK("https://www.devnetjobsindia.org/JobDescription.aspx?Job_Id=285516","RFP - for the Upgrade and Strengthen Essential Health Infrastructure Inclu...")</f>
        <v/>
      </c>
    </row>
    <row r="9">
      <c r="A9" s="1" t="inlineStr">
        <is>
          <t>DevNetJobsIndia</t>
        </is>
      </c>
      <c r="B9" s="1" t="inlineStr"/>
      <c r="C9" s="1" t="inlineStr">
        <is>
          <t>RFP - Audio Quality Annotation of Student Voice Recordings</t>
        </is>
      </c>
      <c r="D9" s="2" t="inlineStr">
        <is>
          <t>Lords Education and Health Society (LEHS) | India
International Development - RFP - Audio Quality Annotation of Student Voice Recordings, Lords Education and Health Society (LEHS), India - DevNetJobsIndia.org
Jobseekers:
Login
|
Register
Home
Value Membership
Broadcast Resume
RFPs/Tenders
Search Jobs
Events
Jobseekers:
Login
|
Register
Jobseekers Login
Jobseekers Register
Job ID:
285876
RFP - Audio Quality Annotation of Student Voice Recordings
Lords Education and Health Society (LEHS)
Location:
India
Apply by:
20 Feb 2026
Relevant Sectors
Communications, IT, Media, Knowledge Management, Editor
Infrastructure, Technology, Engineering, Science
Social, Gender, Education, Youth, Child
REQUEST FOR PROPOSAL (RFP)
Audio Quality Annotation of Student Voice Recordings
Closing Date for Submission
&lt;Feb 16, 2026&gt;
I.
INTRODUCTION
LEHS is a charitable organization in India whose purpose is to offer basic health and education for the poor. LEHS in furtherance of charitable objectives through its flagship programs, Wadhwani AI, which aims to build equitable and sustainable systems by making quality primary healthcare available and accessible to the underserved population, and to bring the benefits of modern AI technology to underserved populations by building and deploying AI solutions for social impact across domains such as healthcare, agriculture, governance, and education in India. LEHS aims to promote the integration of technologies, particularly in emerging domains like artificial intelligence and innovations into the Indian mainstream primary healthcare, education, and agriculture systems through a partnership with the State and National Government, apex institutions, international agencies, and private sector partners e.g. innovators, social enterprises and other ecosystem contributors in line with its stated objectives for the betterment of society particularly focusing on projects of national and social significance.
Wadhwani AI, a unit of LEHS, focuses on developing, deploying, and evaluating artificial intelligence solutions to address critical social challenges in India, particularly in domains such as healthcare, agriculture, and education.
LEHS aims to promote the integration of technologies, particularly in emerging domains like artificial intelligence and innovations into the Indian mainstream primary healthcare, education, and agriculture systems through a partnership with the State and National Government, apex institutions, international agencies, and private sector partners e.g. innovators, social enterprises and other ecosystem contributors in line with its stated objectives for the betterment of society particularly focusing on projects of national and social significance. In line with its mission to support projects of national and social significance, LEHS also undertakes rigorous monitoring, evaluation, and learning (MEL) activities to assess the impact, usability, and scalability of different programmatic interventions.
II.
BACKGROUND
A significant number of students in Indian public schools (Grades 1–8) lack foundational reading skills, impacting their academic progression across all subjects. This challenge is compounded by the absence of scalable, data-driven tools for assessing reading in diverse languages and for identifying specific proficiency levels to enable targeted interventions.
In response, Wadhwani AI has developed an AI-powered tool that
automates the assessment of foundational reading skills
. The tool leverages highly contextualized and fine-tuned Automated Speech Recognition (ASR) models to analyze word and paragraph reading, generating key performance metrics and identifying specific reading miscues. Our solution also applies an intelligent layer to cohort students into reading levels, providing teachers with actionable insights for planning targeted classroom interventions.
III.
PROJECT   OBJECTIVES
To date, Wadhwani AI has assessed
over 7 million students in Gujarat and Rajasthan
for the Gujarati and Hindi languages
.
When the assessments are done in a classroom environment, there are many issues with the quality of the audios that teachers use for assessment. We want to improve our mechanism to detect issues with audio quality, and flag those issues to teachers so they can get the warnings for assessments.
This RFP is issued to solicit bids from experienced data annotation agencies to create
high-quality, human-annotated data, where five specific audio quality metrics are scored
by independent annotators. This RFP is therefore focused on securing services for the
high-quality annotation of audio samples (segmented into 5-second clips) according to
the detailed guidelines provided in this document, particularly adhering to the principles
of ITU-T Recommendation P.808.
V.
TIMELINE   AND ROUNDS
Sr.no
Activity
Date
1
Release of   the Request for Proposal (RFP)
February 6,   2026
2
Q&amp;A and   Clarifications
February   13, 2026
3
Last date   for submission of the complete proposal
February   16, 2026
VI.
REQUIRED   DELIVERABLES
The selected partner will be responsible for delivering the following within the agreed project timelines and quality standards:
JSON files of transcriptions of recordings
(Format will be shared separately via email)
Each recording to have a separate JSON file, format as specified by Wadhwani AI
Criteria for Application
Applicants must meet the following criteria.
Mandatory:
Demonstrated team capacity to provide transcriptions in English, demonstrable quality check process
Preferred:
Prior experience in transcribing English student speech.
Submission Details
All proposals to this RFP must be received no later than
&lt;Feb 16th&gt;.
The proposal should be submitted only through e-mail in PDF format addressed to The Procurement Team at the below-given e-mail id:
rfp.lehs@wadhwaniai.org
. The email's subject line must contain the reference number and title of the RFP:
Audio Quality Annotation of Student Voice Recordings
Any proposals received by Wadhwani-AI after the deadline for submission of proposals prescribed in the timeline of this document are liable to be rejected.
For detailed information, please check the complete version of the RFP attached below.
Download Attachment:
RFP for Audio Quality Annotation of Student Voice Recordings- Updated.pdf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9" s="2" t="inlineStr">
        <is>
          <t>• The selected partner will be responsible for delivering the following within the agreed project timelines and quality standards:
JSON files of transcriptions of recordings
(Format will be shared separately via email)
Each recording to have a separate JSON file, format as specified by Wadhwani AI
Criteria for Application
Applicants must meet the following criteria.
Mandatory:
Demonstrated team capacity to provide transcriptions in English, demonstrable quality check process
Preferred:
Prior experience in transcribing English student speech.
• Submission Details
All proposals to this RFP must be received no later than
&lt;Feb 16th&gt;.
The proposal should be submitted only through e-mail in PDF format addressed to The Procurement Team at the below-given e-mail id:
rfp.lehs@wadhwaniai.org
. The email's subject line must contain the reference number and title of the RFP:
Audio Quality Annotation of Student Voice Recordings
Any proposals received by Wadhwani-AI after the deadline for submission of proposals prescribed in the timeline of this document are liable to be rejected.
For detailed information, please check the complete version of the RFP attached below.
Download Attachment:
RFP for Audio Quality Annotation of Student Voice Recordings- Updated.pdf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9" s="1" t="inlineStr">
        <is>
          <t>Learning, Safety</t>
        </is>
      </c>
      <c r="G9" s="1" t="inlineStr">
        <is>
          <t>20-02-2026</t>
        </is>
      </c>
      <c r="H9" s="1" t="n">
        <v>4</v>
      </c>
      <c r="I9" s="1">
        <f>HYPERLINK("https://www.devnetjobsindia.org/JobDescription.aspx?Job_Id=285876","RFP - Audio Quality Annotation of Student Voice Recordings")</f>
        <v/>
      </c>
    </row>
    <row r="10">
      <c r="A10" s="1" t="inlineStr">
        <is>
          <t>DevNetJobsIndia</t>
        </is>
      </c>
      <c r="B10" s="1" t="inlineStr"/>
      <c r="C10" s="1" t="inlineStr">
        <is>
          <t>RFP - Gender Integration within in “Climate Resilient Agriculture based Li...</t>
        </is>
      </c>
      <c r="D10" s="2" t="inlineStr">
        <is>
          <t>Vijayavahini Charitable Foundation - Supported By Tata Trusts | Asifabad District, Telangana
International Development - RFP - Gender Integration within in “Climate Resilient Agriculture based Livelihoods for Asifabad District” Project, Vijayavahini Charitable Foundation - Supported By Tata Trusts, Telangana - DevNetJobsIndia.org
Jobseekers:
Login
|
Register
Home
Value Membership
Broadcast Resume
RFPs/Tenders
Search Jobs
Events
Jobseekers:
Login
|
Register
Jobseekers Login
Jobseekers Register
Job ID:
285744
RFP - Gender Integration within in “Climate Resilient Agriculture based Livelihoods for Asifabad District” Project
Vijayavahini Charitable Foundation - Supported By Tata Trusts
Location:
Asifabad District,
Telangana
Apply by:
20 Feb 2026
Relevant Sectors
Environment, Climate, Energy, Water, Sanitation
Request for Proposals (RFP)
Gender Integration within in “Climate Resilient Agriculture based Livelihoods for Asifabad District”
P
roject
Background of the Organizations:
Incorporated in 2017 as a Section 8 not-for-profit Company, VCF focuses on a wide range of themes, including livelihood promotion, agriculture, craft, sanitation, nutrition, and health among others. VCF works in close co-ordination with various departments of Government and other relevant stakeholders to effectively execute programs either as an implementing or technical advisory partner. Most of the organisations implementation work is done in remote rural habitations/districts of Andhra Pradesh and Telangana.
About the
existing
Pro
ject implemented by VCF
:
The project integrates and train farmers in climate-resilient livelihoods, in ‘extension services’ by focusing on capacity-building activities, planned information exchange, reducing drudgery from the additional burden of the farm, and ensuring their representation in different decision-making bodies through collectives in select 30 villages of Asifabad and Koutala Mandals. The project targeted to reach out 5,000 farmers in next five years. The interventions recommended under the principles of Climate Resilient Agriculture such as - building Resilience in Soil, Rainwater harvesting and recycling, Irrigation and water saving technologies, adaptation of Tolerant Crop Varieties and Cropping Systems, Farm machinery (custom hiring) centres, Crop contingency plans, Livestock and Fishery interventions, Weather-based Agro Advisories, Institutional interventions, Village Climate Risk Management Committee (VCRMC).
Groundwork for the project was initiated from August 2024. Initial months were spent in identifying villages, creating awareness in select villages, identifying Community Resources Persons (CRPs), identifying farmers for demonstrations during Rabi season (Jowar crops), organizing orientation meetings with fishing communities, interacting with various stakeholders related to agro-forestry and FPCs, etc.
At this stage VCF is looking for an organisation which has experience of working with women empowernment and livelihoods subjects and ready to handhold the project team in imparting the skills to integrate gender component within the existing project.
Objective of the
proposed
assignment:
Empower women so that they are in a decision making position related to livelihoods/farming
Reduce domestic violence and other related community level issues
Improve quality of live and reduce drudgery in agriculture
Strengthening community leadership among workers, with an emphasis on building collective voice, peer leadership, and local champions who can sustain interventions beyond the project period.
Geographical coverage of the assignment:
Women farmers/beneficiaries in all selected 30 villages of two mandals of Asifabad district (Koutala and Asifabad).
Scope of Work:
The key tasks for this assignment will be undertaken in close collaboration with VCF
project team
Undertaking situation analysis / baseline study (self or with 3rd party support)
Preparing action plan (inception report) for next three years support to handhold VCF in Asifabad on building Gender Component
Providing training/capacity building of local team (
team strengthen of 40 including
Community Resource persons) in handling gender issues on ground; this training will repeat in every quarter/six monthly
Monitoring/onsite support visit by Resource person/agency to project location: bimonthly
Hosting team for exploratory visits to existing programs across state/particular district
Deputing resource persons for supporting implementation team in project location
Organising workshops related to strengthening gender component for program team as well as for beneficiaries
Strengthening community leadership among workers, with an emphasis on building collective voice, peer leadership, and local champions who can sustain interventions beyond the project period.
Conducting midline/endline study to find out the changes in gender component within the project
Duration of services:
The finalized agency/institution/consultant is expected to deliver services for a period of
36
months from
March
202
6
to
February
202
9
Eligibility and Qualification Criteria
Registered NGO or Section 8 company with proven expertise in Women Empowerment, Livelihoods and FPO development.
Must possess a valid 12A, 80G certificates
Minimum 3 years of relevant experience or demonstrated work on above subjects
Proven experience in working with rural or tribal communities, preferably in Telangana
Minimum annual turnover of INR 20 lakhs in any of the past three financial years.
Qualified team with expertise in FPO governance, Gender empowerment, Livelihoods work, strengthening communities.
Proposal Submission
Interested agencies are requested to submit a detail proposal including Financials for 36 months to
contact@vijayavahini.org
with the subject line “RFP – Women Empowerment”. The Technical Proposal should include organization profile, relevant experience, methodology, proposed team, and work plan. The Financial Proposal should include fee structure, expenses, and applicable taxes.
Evaluation Criteria
The selection process will follow Quality and Cost-Based Selection (QCBS) with 70% weightage for technical and 30% for financial proposals.
Evaluation parameters:
• Organizational profile and relevant experience – 20 points
• Approach and methodology – 30 points
• Past assignments – 20 points
• Team qualifications and experience – 20 points
• Financial proposal – 10 points
Payment Terms
50% upon signing of contract and submission of inception report.
25% in the 2
nd
year start (13
th
month) of the work and submission of the first year report
20% in the 3
rd
year start (25
th
month) of the work and submission of the second year report
5% closer of the project and submission of final report (36
th
month)
General Terms and Conditions
VCF reserves the right to accept or reject any proposal without assigning reasons. The consultant shall maintain confidentiality and adhere to VCF’s ethical standards and data protection policy. All outputs, training materials, and documents produced under this consultancy shall remain the property of VCF.
Issued by:
Vijayavahini Charitable Foundation (VCF)
CNR Complex, 3rd Floor, Sri Ramachandra Nagar, Vijayawada, Andhra Pradesh – 520008
Email:
contact@vijayavahini.org
Website:
www.vijayavahini.org
Job Email ID:
contact(at)vijayavahini.org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0" s="2" t="inlineStr">
        <is>
          <t>• Scope of Work:
The key tasks for this assignment will be undertaken in close collaboration with VCF
project team
Undertaking situation analysis / baseline study (self or with 3rd party support)
Preparing action plan (inception report) for next three years support to handhold VCF in Asifabad on building Gender Component
Providing training/capacity building of local team (
team strengthen of 40 including
Community Resource persons) in handling gender issues on ground; this training will repeat in every quarter/six monthly
Monitoring/onsite support visit by Resource person/agency to project location: bimonthly
Hosting team for exploratory visits to existing programs across state/particular district
Deputing resource persons for supporting implementation team in project location
Organising workshops related to strengthening gender component for program team as well as for beneficiaries
Strengthening community leadership among workers, with an emphasis on building collective voice, peer leadership, and local champions who can sustain interventions beyond the project period.
Conducting midline/endline study to find out the changes in gender component within the project
Duration of services:
The finalized agency/institution/consultant is expected to deliver services for a period of
36
months from
March
202
6
to
February
202
9
• Eligibility and Qualification Criteria
Registered NGO or Section 8 company with proven expertise in Women Empowerment, Livelihoods and FPO development.
Must possess a valid 12A, 80G certificates
Minimum 3 years of relevant experience or demonstrated work on above subjects
Proven experience in working with rural or tribal communities, preferably in Telangana
Minimum annual turnover of INR 20 lakhs in any of the past three financial years.
Qualified team with expertise in FPO governance, Gender empowerment, Livelihoods work, strengthening communities.
Proposal Submission
Interested agencies are requested to submit a detail proposal including Financials for 36 months to
contact@vijayavahini.org
with the subject line “RFP – Women Empowerment”. The Technical Proposal should include organization profile, relevant experience, methodology, proposed team, and work plan. The Financial Proposal should include fee structure, expenses, and applicable taxes.
• Evaluation Criteria
• The selection process will follow Quality and Cost-Based Selection (QCBS) with 70% weightage for technical and 30% for financial proposals.
Evaluation parameters:
• • Organizational profile and relevant experience – 20 points
• Approach and methodology – 30 points
• Past assignments – 20 points
• Team qualifications and experience – 20 points
• Financial proposal – 10 points
Payment Terms
50% upon signing of contract and submission of inception report.
25% in the 2
nd
year start (13
th
month) of the work and submission of the first year report
20% in the 3
rd
year start (25
th
month) of the work and submission of the second year report
5% closer of the project and submission of final report (36
th
month)
• General Terms and Conditions
VCF reserves the right to accept or reject any proposal without assigning reasons. The consultant shall maintain confidentiality and adhere to VCF’s ethical standards and data protection policy. All outputs, training materials, and documents produced under this consultancy shall remain the property of VCF.
Issued by:
Vijayavahini Charitable Foundation (VCF)
CNR Complex, 3rd Floor, Sri Ramachandra Nagar, Vijayawada, Andhra Pradesh – 520008
Email:
contact@vijayavahini.org
Website:
www.vijayavahini.org
• Job Email ID:
contact(at)vijayavahini.org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0" s="1" t="inlineStr">
        <is>
          <t>Climate, Safety</t>
        </is>
      </c>
      <c r="G10" s="1" t="inlineStr">
        <is>
          <t>20-02-2026</t>
        </is>
      </c>
      <c r="H10" s="1" t="n">
        <v>4</v>
      </c>
      <c r="I10" s="1">
        <f>HYPERLINK("https://www.devnetjobsindia.org/JobDescription.aspx?Job_Id=285744","RFP - Gender Integration within in “Climate Resilient Agriculture based Li...")</f>
        <v/>
      </c>
    </row>
    <row r="11">
      <c r="A11" s="1" t="inlineStr">
        <is>
          <t>DevNetJobsIndia</t>
        </is>
      </c>
      <c r="B11" s="1" t="inlineStr"/>
      <c r="C11" s="1" t="inlineStr">
        <is>
          <t>RFP - Design, Supply, Installation, And Commissioning Of A 1 Mw Agri Photo...</t>
        </is>
      </c>
      <c r="D11" s="2" t="inlineStr">
        <is>
          <t>Women's Organisation For Socio-Cultural Awareness (Wosca) | Kendujhar, Odisha
International Development - RFP - Design, Supply, Installation, And Commissioning Of A 1 Mw Agri Photovoltaics At Kulabir, Koraput, Odisha, Women's Organisation For Socio-Cultural Awareness (Wosca), Odisha - DevNetJobsIndia.org
Jobseekers:
Login
|
Register
Home
Value Membership
Broadcast Resume
RFPs/Tenders
Search Jobs
Events
Jobseekers:
Login
|
Register
Jobseekers Login
Jobseekers Register
Job ID:
285841
RFP - Design, Supply, Installation, And Commissioning Of A 1 Mw Agri Photovoltaics At Kulabir, Koraput, Odisha
Women's Organisation For Socio-Cultural Awareness (Wosca)
Location:
Kendujhar,
Odisha
Apply by:
20 Feb 2026
Relevant Sectors
Agriculture, Livelihoods, Microfinance, Rural, Urban
Capacity Building, Training, Advocacy
Infrastructure, Technology, Engineering, Science
Terms of Reference
I.          General Information
Parameter:
Description
Name of the Project:   Design, Supply, Installation, and Commissioning of a 1 MW Agriphotovoltaics (Agri-PV) Plant under PM-KUSUM Component A
Project Capacity: 1 MW
Ownership Model: FPO Led Model
Project Location: Kulabir, Near Padua, Nandapur Block, Koraput
State:   Odisha
Funder of the Project: Heifer International
This document is being issued in order to solicit applications from potential [contractors] to install the [1 MW Agri photovoltaic (Empowering Small holder Farmers in Odisha through Agri Photovoltaics)]. the contractor is expected to commission the project and support in Operations &amp; Maintenance for 5 years, funded by Heifer International,.
The terms of reference contains background information, the desired methodology, including objectives, the timeframe for conducting the final evaluation, and a list of deliverables. This document also contains information about the kind of expertise that WOSCA seeks for this activity and guidance on how to submit a proposal to conduct the activity.
WOSCA anticipates awarding a Fixed award for the Empowering Small holder Farmers in Odisha through Agri Photovoltaics (1 MW APV) and make payments based on submission and WOSCA’s approval of deliverables. The award agreement will include a payment schedule with specific deliverables; all payments require 45 business days (with variable payment system to be clearly mentioned in the RFP) processing after approval of deliverables.
II.         Background
Women’s Organisation for Socio-Cultural Awareness (WOSCA) is a voluntary non-profit organisation founded on 20th December 1993 and registered under the Society Registration Act and FCRA, dedicated to uplifting underprivileged communities, particularly women, children and the elderly. It works primarily in areas such as governance and livelihood, health and education, women and child empowerment, environmental conservation, and social development through community mobilisation and participatory actions. WOSCA emphasizes participatory development, environmental conservation, and social inclusion. Its long-term, community-driven approach has contributed to improved livelihoods, greater awareness of rights, and enhanced resilience among vulnerable populations. Over more than three decades of service, WOSCA has implemented numerous sustainable development programs, strengthened local institutions like women’s self-help groups, facilitated access to government schemes, and reached tens of thousands of families to foster resilience, equity and lasting change at the grassroots level. More Info on WOSCA: www.wosca.org
III.        Purpose and Objective
The main purpose of this RFP is to Establish and commission a 1 MW FPO led Agri – PV, provide them with handholding support &amp; maintenance for 5 years to enable the community to maintain the unit on their own.
Specific Objectives
WOSCA invites proposals from qualified Engineering, Procurement and Construction (EPC) contractors for the design, supply, installation, and commissioning of a 1 MW Agrivoltaic (Agri-PV) power plant in Kulabir Village, Nandapur Block, Koraput District, Odisha.
The project aims to demonstrate a farmer-centric, dual-use solar model that integrates clean energy generation with continued agricultural production under solar panels. The initiative aligns with the objectives of PM-KUSUM Component A, promoting decentralized renewable energy generation and enhancing rural livelihoods through FPO-led ownership and revenue management.
Scope of work
The selected bidder will be responsible for delivering a complete, high-quality APV solution, covering end-to-end design, engineering, construction, and operational support.
Key responsibilities include:
Design and Engineering: Development of comprehensive engineering designs for a 1 MW overhead stilted APV system, including detailed layouts, structural engineering, and electrical drawings. It is to be ensured that a minimum ground clearance of 3-4 metres is maintained and the provision for agricultural activities under the panels is incorporated. All designs must comply with Ministry of New and Renewable Energy (MNRE) guidelines, relevant Bureau of Indian Standards (BIS), and PM-KUSUM Component A specifications.
Procurement and Installation: Supply all system components, including PV modules, inverters, elevated mounting structures, Balance of System (BOS) items and protection systems. Execute complete civil, structural, mechanical and electrical works necessary for installation and commissioning. Ensure quality assurance and testing of all components as per national and international standards. Detailed technical specification benchmarks, component-wise requirements, applicable standards, testing protocols, and minimum warranty obligations are provided in the Annexure 1 of this RFP. The EPC Contractor shall ensure full compliance with all parameters outlined therein, and any deviations must be clearly stated in the bid submission.
Grid Interconnection and Power Evacuation: Designing and construction the evacuation infrastructure up to the designated interconnection point, following local DISCOM norms. Coordination with DISCOM for inspections, approvals, synchronization and commissioning of the plant.
Agriculture Integration Irrigation Systems: Support the development of the panel farming plan, including layout for crops such as turmeric, ginger, and other shade-tolerant species. Install efficient water management systems, including drip irrigation pipelines, pumps, filtration units, and automation (if any). Ensure structural layout allows optimal light transmission and accessibility for farming operations.
Operation and Maintenance (O&amp;M): Provide comprehensive O&amp;M services for a period of 5 years, including routine inspections, inverter and equipment maintenance, and fault rectification. Maintain system performance monitoring through Supervisory Control and Data Acquisition (SCADA) or equivalent real-time monitoring systems and ensure minimum guaranteed plant uptime and CUF.
Training and Capacity Building: Conduct structured training programs for local FPO members, farmers on system operation, safety protocols, routine maintenance, and agricultural best practices under APV systems. Prepare user manuals, O&amp;M checklists, and training materials
Deliverables:
For detailed information, please check the complete version of the RFP attached below.
Job Email ID:
woscaprocurement(at)gmail.com
Download Attachment:
RFP.docx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1" s="2" t="inlineStr">
        <is>
          <t>• Scope of work
The selected bidder will be responsible for delivering a complete, high-quality APV solution, covering end-to-end design, engineering, construction, and operational support.
Key responsibilities include:
Design and Engineering: Development of comprehensive engineering designs for a 1 MW overhead stilted APV system, including detailed layouts, structural engineering, and electrical drawings. It is to be ensured that a minimum ground clearance of 3-4 metres is maintained and the provision for agricultural activities under the panels is incorporated. All designs must comply with Ministry of New and Renewable Energy (MNRE) guidelines, relevant Bureau of Indian Standards (BIS), and PM-KUSUM Component A specifications.
• Procurement and Installation: Supply all system components, including PV modules, inverters, elevated mounting structures, Balance of System (BOS) items and protection systems. Execute complete civil, structural, mechanical and electrical works necessary for installation and commissioning. Ensure quality assurance and testing of all components as per national and international standards. Detailed technical specification benchmarks, component-wise requirements, applicable standards, testing protocols, and minimum warranty obligations are provided in the Annexure 1 of this RFP. The EPC Contractor shall ensure full compliance with all parameters outlined therein, and any deviations must be clearly stated in the bid submission.
Grid Interconnection and Power Evacuation: Designing and construction the evacuation infrastructure up to the designated interconnection point, following local DISCOM norms. Coordination with DISCOM for inspections, approvals, synchronization and commissioning of the plant.
Agriculture Integration Irrigation Systems: Support the development of the panel farming plan, including layout for crops such as turmeric, ginger, and other shade-tolerant species. Install efficient water management systems, including drip irrigation pipelines, pumps, filtration units, and automation (if any). Ensure structural layout allows optimal light transmission and accessibility for farming operations.
Operation and Maintenance (O&amp;M): Provide comprehensive O&amp;M services for a period of 5 years, including routine inspections, inverter and equipment maintenance, and fault rectification. Maintain system performance monitoring through Supervisory Control and Data Acquisition (SCADA) or equivalent real-time monitoring systems and ensure minimum guaranteed plant uptime and CUF.
Training and Capacity Building: Conduct structured training programs for local FPO members, farmers on system operation, safety protocols, routine maintenance, and agricultural best practices under APV systems. Prepare user manuals, O&amp;M checklists, and training materials
Deliverables:
For detailed information, please check the complete version of the RFP attached below.
• Job Email ID:
woscaprocurement(at)gmail.com
Download Attachment:
RFP.docx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1" s="1" t="inlineStr">
        <is>
          <t>Safety</t>
        </is>
      </c>
      <c r="G11" s="1" t="inlineStr">
        <is>
          <t>20-02-2026</t>
        </is>
      </c>
      <c r="H11" s="1" t="n">
        <v>4</v>
      </c>
      <c r="I11" s="1">
        <f>HYPERLINK("https://www.devnetjobsindia.org/JobDescription.aspx?Job_Id=285841","RFP - Design, Supply, Installation, And Commissioning Of A 1 Mw Agri Photo...")</f>
        <v/>
      </c>
    </row>
    <row r="12">
      <c r="A12" s="1" t="inlineStr">
        <is>
          <t>DevNetJobsIndia</t>
        </is>
      </c>
      <c r="B12" s="1" t="inlineStr"/>
      <c r="C12" s="1" t="inlineStr">
        <is>
          <t>TOR : Study on Functionality and Sustainability of Grey Water Management (...</t>
        </is>
      </c>
      <c r="D12" s="2" t="inlineStr">
        <is>
          <t>Water For People India | West Bengal
International Development - TOR : Study on Functionality and Sustainability of Grey Water Management (GWM) Systems in Rural West Bengal under SBM(G) 2.0, Water For People India, West Bengal - DevNetJobsIndia.org
Jobseekers:
Login
|
Register
Home
Value Membership
Broadcast Resume
RFPs/Tenders
Search Jobs
Events
Jobseekers:
Login
|
Register
Jobseekers Login
Jobseekers Register
Job ID:
285954
TOR : Study on Functionality and Sustainability of Grey Water Management (GWM) Systems in Rural West Bengal under SBM(G) 2.0
Water For People India
Location:
West Bengal
Apply by:
20 Feb 2026
Relevant Sectors
Administration, HR, Management, Accounting/Finance
Environment, Climate, Energy, Water, Sanitation
TOR : Study on Functionality and Sustainability of Grey Water Management (GWM) Systems in Rural West Bengal under SBM(G) 2.0
Organization
:    Water For People India
In collaboration with
:     Panchayat &amp; Rural Development Department, Government of West Bengal
Location
:          West Bengal
About Water For People
Water For People India Trust is a non-profit organization which supports people of developing countries to improve their quality of life by promoting locally sustainable drinking water sources, sanitation facilities and health and hygiene programs. We believe that access to safe water and adequate sanitation are basic human rights and can put an end to needless suffering and mortality from water-related preventable diseases.
Water for People India initiated its operations in West Bengal in 1996 in Nadia and North 24 Parganas districts. Consistent with the global vision and mission, we exist to promote the development of high-quality drinking water and sanitation services, accessible to all, and sustained by strong communities, businesses, and governments. Our organizational values are: Amplify all voices, Integrity, courage, Environmental Stewardship and Collective Transformation. Water for People India programs have been implemented in 26 districts in the states of West Bengal, Bihar, Maharashtra, Tamil Nadu, Odisha and Assam.
In all, nearly 1.2 million people have been reached through community drinking water and sanitation, WASH in public institutions and market led approaches to sanitation. By 2023, Water for People India programs directly benefited 2.7 million people. We aim to build capacities at the district level which will contribute to organizational commitments, thereby indirectly benefiting 14.8 million people. Water for People India implements programs through locally registered non-government organizations.
Background
In recent years, various GWM structures—such as soak pits, leach pits, filter chambers, constructed wetlands, and DEWATS—have been implemented across rural Bengal to manage household and community wastewater. These efforts have significantly contributed to improving rural sanitation and environmental hygiene.
To further improve system performance and ensure sustainability, Water For People India (WFPI), in partnership with the Panchayat &amp; Rural Development Department, Government of West Bengal, proposes to conduct a state-level study to understand the present situation of grey water management at household, village, and Gram Panchayat levels. The study will help identify existing gaps, operational challenges, and opportunities for promoting community participation and long-term management of assets.
While a wide range of grey water management technologies have been implemented depending on local geography and soil conditions, there is a growing need to understand:
The current functionality and coverage of these assets,
How much of the total household wastewater is being managed through existing systems
The level of community involvement in operation and maintenance (O&amp;M), and
How to strengthen institutional mechanisms for long-term service delivery.
This study will serve as an important step to document the current scenario, identify strategic gaps, and recommend practical measures to improve planning, participation, and sustainability of grey water management systems across rural Bengal.
For detailed information, please check the complete version of the RFP attached below.
Download Attachment:
TOR GWM.docx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2" s="2" t="inlineStr">
        <is>
          <t>N/A</t>
        </is>
      </c>
      <c r="F12" s="1" t="inlineStr">
        <is>
          <t>Climate, Governance, Learning</t>
        </is>
      </c>
      <c r="G12" s="1" t="inlineStr">
        <is>
          <t>20-02-2026</t>
        </is>
      </c>
      <c r="H12" s="1" t="n">
        <v>4</v>
      </c>
      <c r="I12" s="1">
        <f>HYPERLINK("https://www.devnetjobsindia.org/JobDescription.aspx?Job_Id=285954","TOR : Study on Functionality and Sustainability of Grey Water Management (...")</f>
        <v/>
      </c>
    </row>
    <row r="13">
      <c r="A13" s="1" t="inlineStr">
        <is>
          <t>DevNetJobsIndia</t>
        </is>
      </c>
      <c r="B13" s="1" t="inlineStr"/>
      <c r="C13" s="1" t="inlineStr">
        <is>
          <t>ToR - End-to-End Digital Marketing Agency for ChildFund India</t>
        </is>
      </c>
      <c r="D13" s="2" t="inlineStr">
        <is>
          <t>ChildFund India | India
International Development - ToR - End-to-End Digital Marketing Agency for ChildFund India, ChildFund India, India - DevNetJobsIndia.org
Jobseekers:
Login
|
Register
Home
Value Membership
Broadcast Resume
RFPs/Tenders
Search Jobs
Events
Jobseekers:
Login
|
Register
Jobseekers Login
Jobseekers Register
Job ID:
285899
ToR - End-to-End Digital Marketing Agency for ChildFund India
ChildFund India
Location:
India
Apply by:
20 Feb 2026
Relevant Sectors
Administration, HR, Management, Accounting/Finance
Communications, IT, Media, Knowledge Management, Editor
TERMS OF REFERENCE (TOR)
End-to-End Digital Marketing Agency for ChildFund India
1. About ChildFund India
ChildFund India is a child development organization registered in India in 1984, working with children, youth, and families from remote and underserved communities with the vision of building “an India where children lead a dignified life and achieve their full potential.”
Its programs span health, nutrition, education, skill development, livelihoods, child protection, gender equality, disability inclusion, and humanitarian response. Through long-term community partnerships and collaboration with government and civil society, ChildFund India reaches millions of children and families across the country each year.
2. Background of the Assignment
ChildFund India is strengthening its digital fundraising and communication ecosystem to expand individual giving, improve donor experience, and enhance long-term engagement.
To achieve this, ChildFund India proposes to appoint a professionally qualified
end-to-end digital marketing agency
capable of planning, executing, optimizing, and reporting on integrated digital campaigns across channels and platforms.
The appointed agency will be responsible for planning, executing, optimising, and reporting on integrated digital marketing and fundraising campaigns, and will act as a single strategic and operational partner across the entire donor journey—from awareness and consideration to donation and retention
3. Objectives of the Assignment
The engagement aims to:
Increase brand visibility and reach nationally.
Drive consideration through compelling digital storytelling.
Generate donations for Monthly Giving and Single Gift programs.
Strengthen remarketing, re engagement and donor-retention initiatives.
Establish robust analytics, tracking and reporting systems.
Ensure cost-efficient, data driven and high-impact digital performance.
4. Nature of Engagement
The appointed agency shall provide
end-to-end services
, including:
Campaign planning and execution.
Creative development and content production.
Media planning and buying.
Platform setup and tracking and analytics implementation.
Ongoing Performance optimisation and reporting
Compliance with ChildFund India’s brand guidelines, child-safeguarding policies, and data-protection standards.
5. Scope of Work / Assignment
The scope includes, but is not limited to, the following components:
5.1 Website &amp; Landing Page Optimisation
Audit and optimise existing websites and donation journeys.
Design and test new landing pages for:
Monthly Giving Program (MGP)
One-time donations.
Improve UX/UI and conversion rates.
Implement analytics, tagging, and donation tracking.
Recommend and execute CRO initiatives.
5.2 Search Engine Optimisation (SEO)
On-Page SEO
Keyword research and mapping.
Technical audits and fixes.
Metadata and site-speed improvements.
Content optimisation.
Off-Page SEO
Authority-building and backlink strategies.
Measurement
Keyword ranking movement.
Organic traffic growth.
SEO-driven conversions.
5.3 Paid Advertising &amp; Performance Marketing
Campaign Setup
Creation and configuration of advertising accounts.
Search, Display, and Social campaigns.
Audience and keyword research.
Ad copy and banner creative development.
Bid strategy and geo-targeting.
Conversion-tracking integration.
Landing-page selection.
Ongoing Management
Automation and optimisation.
Adaptation to platform and market changes.
Channel expansion recommendations.
Launch of test campaigns.
Optimisation
A/B testing of creatives.
Keyword refinement.
Bid optimisation.
Performance analysis.
Remarketing
Display and social retargeting.
Audience segmentation.
Re-engagement journeys for past visitors and donors.
5.4 Social Media Marketing
Content &amp; Creative
Static posts, reels, carousels, GIFs, and campaign creatives.
Mission-aligned storytelling.
Management
Posting calendars.
Community moderation.
Page optimisation.
Insights &amp; Support
Audience research.
Competitor benchmarking.
Trend analysis.
Campaign backend support.
Reporting
Monthly dashboards.
Engagement and growth analysis.
5.5 Data, Tracking &amp; Analytics
Funnel-wise KPI dashboards.
Attribution modelling.
CPA / ROI analysis.
Monthly and quarterly reports.
Strategic insights for scale-up.
6. Key Deliverables
The agency shall provide:
Annual digital roadmap.
Monthly content calendars.
Creative assets.
SEO audit reports.
Paid media plans.
Analytics dashboards.
Campaign proposals.
Quarterly strategy reviews.
7. Governance &amp; Reporting
Dedicated account manager.
Monthly performance review meetings.
Quarterly strategic workshops.
Written reports within five working days of month-end.
Escalation matrix.
8. Commercials &amp; Exclusions
Unless otherwise agreed:
GST will be applicable as per law.
Retainer excludes:
Media spends.
Stock images.
Photography / videography.
Influencer fees.
Google Ad Grants management shall be treated as a separate scope.
WhatsApp-based marketing may be considered optional.
9. Confidentiality &amp; Compliance
All data and outputs shall remain the property of ChildFund India.
The agency must sign and adhere to ChildFund India’s Child Safeguarding Policy.
Compliance with data-protection and donor-privacy regulations is mandatory.
10. Proposal Submission Requirements
Interested agencies must submit:
Organisational profile.
Relevant NGO or fundraising experience.
Proposed methodology and execution plan.
Team structure.
Budget break-up.
Timelines.
Samples of similar work.
Interested evaluators/agencies are requested to submit their technical and financial proposals to
centralpurchase2@childfundindia.org
by 20th February 2026.
ChildFund India reserves the right to modify this ToR based on programmatic and contextual requirements.
Please do mention reference in your proposal i.e.
PRA/CFI/BAN/2025-26/044
Job Email ID:
centralpurchase2(at)childfundindia.org
Download Attachment:
TERMS OF REFERENCE.pdf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3" s="2" t="inlineStr">
        <is>
          <t>• 5. Scope of Work / Assignment
The scope includes, but is not limited to, the following components:
5.1 Website &amp; Landing Page Optimisation
Audit and optimise existing websites and donation journeys.
Design and test new landing pages for:
Monthly Giving Program (MGP)
One-time donations.
Improve UX/UI and conversion rates.
Implement analytics, tagging, and donation tracking.
Recommend and execute CRO initiatives.
5.2 Search Engine Optimisation (SEO)
On-Page SEO
Keyword research and mapping.
Technical audits and fixes.
Metadata and site-speed improvements.
Content optimisation.
Off-Page SEO
Authority-building and backlink strategies.
Measurement
Keyword ranking movement.
Organic traffic growth.
SEO-driven conversions.
5.3 Paid Advertising &amp; Performance Marketing
Campaign Setup
Creation and configuration of advertising accounts.
Search, Display, and Social campaigns.
Audience and keyword research.
Ad copy and banner creative development.
Bid strategy and geo-targeting.
Conversion-tracking integration.
Landing-page selection.
Ongoing Management
Automation and optimisation.
Adaptation to platform and market changes.
Channel expansion recommendations.
Launch of test campaigns.
Optimisation
A/B testing of creatives.
Keyword refinement.
Bid optimisation.
Performance analysis.
Remarketing
Display and social retargeting.
Audience segmentation.
Re-engagement journeys for past visitors and donors.
5.4 Social Media Marketing
Content &amp; Creative
Static posts, reels, carousels, GIFs, and campaign creatives.
Mission-aligned storytelling.
Management
Posting calendars.
Community moderation.
Page optimisation.
Insights &amp; Support
Audience research.
Competitor benchmarking.
Trend analysis.
Campaign backend support.
Reporting
Monthly dashboards.
Engagement and growth analysis.
5.5 Data, Tracking &amp; Analytics
Funnel-wise KPI dashboards.
Attribution modelling.
CPA / ROI analysis.
Monthly and quarterly reports.
Strategic insights for scale-up.
6. Key Deliverables
The agency shall provide:
Annual digital roadmap.
Monthly content calendars.
Creative assets.
SEO audit reports.
Paid media plans.
Analytics dashboards.
Campaign proposals.
Quarterly strategy reviews.
7. Governance &amp; Reporting
Dedicated account manager.
Monthly performance review meetings.
Quarterly strategic workshops.
Written reports within five working days of month-end.
Escalation matrix.
8. Commercials &amp; Exclusions
Unless otherwise agreed:
GST will be applicable as per law.
Retainer excludes:
Media spends.
Stock images.
Photography / videography.
Influencer fees.
Google Ad Grants management shall be treated as a separate scope.
WhatsApp-based marketing may be considered optional.
9. Confidentiality &amp; Compliance
All data and outputs shall remain the property of ChildFund India.
The agency must sign and adhere to ChildFund India’s Child Safeguarding Policy.
Compliance with data-protection and donor-privacy regulations is mandatory.
• 10. Proposal Submission Requirements
Interested agencies must submit:
Organisational profile.
Relevant NGO or fundraising experience.
Proposed methodology and execution plan.
Team structure.
Budget break-up.
Timelines.
Samples of similar work.
Interested evaluators/agencies are requested to submit their technical and financial proposals to
centralpurchase2@childfundindia.org
by 20th February 2026.
ChildFund India reserves the right to modify this ToR based on programmatic and contextual requirements.
Please do mention reference in your proposal i.e.
PRA/CFI/BAN/2025-26/044
• Job Email ID:
centralpurchase2(at)childfundindia.org
Download Attachment:
TERMS OF REFERENCE.pdf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3" s="1" t="inlineStr">
        <is>
          <t>Safety</t>
        </is>
      </c>
      <c r="G13" s="1" t="inlineStr">
        <is>
          <t>20-02-2026</t>
        </is>
      </c>
      <c r="H13" s="1" t="n">
        <v>4</v>
      </c>
      <c r="I13" s="1">
        <f>HYPERLINK("https://www.devnetjobsindia.org/JobDescription.aspx?Job_Id=285899","ToR - End-to-End Digital Marketing Agency for ChildFund India")</f>
        <v/>
      </c>
    </row>
    <row r="14">
      <c r="A14" s="1" t="inlineStr">
        <is>
          <t>DevNetJobsIndia</t>
        </is>
      </c>
      <c r="B14" s="1" t="inlineStr"/>
      <c r="C14" s="1" t="inlineStr">
        <is>
          <t>TOR : Study on Functionality and Sustainability of Solid Waste Management ...</t>
        </is>
      </c>
      <c r="D14" s="2" t="inlineStr">
        <is>
          <t>Water For People India | West Bengal
International Development - TOR : Study on Functionality and Sustainability of Solid Waste Management (SWM) Systems in Rural West Bengal under SBM(G) 2.0, Water For People India, West Bengal - DevNetJobsIndia.org
Jobseekers:
Login
|
Register
Home
Value Membership
Broadcast Resume
RFPs/Tenders
Search Jobs
Events
Jobseekers:
Login
|
Register
Jobseekers Login
Jobseekers Register
Job ID:
285952
TOR : Study on Functionality and Sustainability of Solid Waste Management (SWM) Systems in Rural West Bengal under SBM(G) 2.0
Water For People India
Location:
West Bengal
Apply by:
20 Feb 2026
Relevant Sectors
Administration, HR, Management, Accounting/Finance
Environment, Climate, Energy, Water, Sanitation
TOR : Study on Functionality and Sustainability of Solid Waste Management (SWM) Systems in Rural West Bengal under SBM(G) 2.0
Organization
:
Water For People India
In collaboration with
:     Panchayat &amp; Rural Development Department, Government of West Bengal
Location
:          West Bengal
About Water For People
Water For People India is a non-profit organization which supports people of developing countries to improve their quality of life by promoting locally sustainable drinking water sources, sanitation facilities and health and hygiene programs. We believe that access to safe water and adequate sanitation are basic human rights and can put an end to needless suffering and mortality from water-related preventable diseases.
Water for People India initiated its operations in West Bengal in 1996 in Nadia and North 24 Parganas districts. Consistent with the global vision and mission, we exist to promote the development of high-quality drinking water and sanitation services, accessible to all, and sustained by strong communities, businesses, and governments. Our organizational values are: Amplify all voices, Integrity, courage, Environmental Stewardship and Collective Transformation. Water for People India programs have been implemented in 26 districts in the states of West Bengal, Bihar, Maharashtra, Tamil Nadu, Odisha and Assam.
In all, nearly 1.2 million people have been reached through community drinking water and sanitation, WASH in public institutions and market led approaches to sanitation. By 2023, Water for People India programs directly benefited 2.7 million people. We aim to build capacities at the district level which will contribute to organizational commitments, thereby indirectly benefiting 14.8 million people. Water for People India implements programs through locally registered non-government organizations.
Background
Water For People India (WFPI), in partnership with the Panchayat &amp; Rural Development Department, Government of West Bengal, proposes to conduct a state-level study on the functionality, financial sustainability, and operational performance of Solid Waste Management (SWM) Units established under Swachh Bharat Mission (Gramin) 2.0.
In recent years, the Department has facilitated extensive infrastructure creation for solid waste management through construction of SWM units at the Gram Panchayat (GP) level, alongside awareness and capacity-building initiatives.
To further reinforce system efficiency and ensure sustainable outcomes, a comprehensive study is proposed to assess the functionality, operational mechanisms, and financial sustainability of SWM units. The study aims to document ongoing practices, identify key enablers of success, and recommend strategies for improved service delivery, effective utilization of assets, and long-term sustainability.
Objective
Overall Objective:
To assess the current operational status and sustainability of Solid Waste Management systems under SBM(G) 2.0 and provide actionable recommendations to enhance their efficiency, performance, and scalability.
Specific Objectives:
Assess operational functionality and utilization of SWM units across different GP models- urbanized, rural, and semi-urban—and to identify practical steps for improving waste collection, processing, financial sustainability, and community participation.
Review waste collection, segregation, and disposal systems adopted at the GP and village levels.
Analyse institutional, financial, and human resource arrangements supporting SWM operations.
Document effective practices and models that can be scaled up or replicated across districts.
Recommend feasible measures to improve planning, monitoring, and long-term sustainability.
For detailed information, please check the complete version of the RFP attached below.
Download Attachment:
TOR SWM..docx
View Similar Jobs:
Was this job of interest to you? Subscribe to Value Membership to get access to similar jobs and hundreds of other member-only jobs.
Subscribe
Apply by:
20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4" s="2" t="inlineStr">
        <is>
          <t>N/A</t>
        </is>
      </c>
      <c r="F14" s="1" t="inlineStr">
        <is>
          <t>Climate, Governance, Learning</t>
        </is>
      </c>
      <c r="G14" s="1" t="inlineStr">
        <is>
          <t>20-02-2026</t>
        </is>
      </c>
      <c r="H14" s="1" t="n">
        <v>4</v>
      </c>
      <c r="I14" s="1">
        <f>HYPERLINK("https://www.devnetjobsindia.org/JobDescription.aspx?Job_Id=285952","TOR : Study on Functionality and Sustainability of Solid Waste Management ...")</f>
        <v/>
      </c>
    </row>
    <row r="15">
      <c r="A15" s="1" t="inlineStr">
        <is>
          <t>DevNetJobsIndia</t>
        </is>
      </c>
      <c r="B15" s="1" t="inlineStr"/>
      <c r="C15" s="1" t="inlineStr">
        <is>
          <t>RFP - Baseline assessment for a community centered intervention to address...</t>
        </is>
      </c>
      <c r="D15" s="2" t="inlineStr">
        <is>
          <t>Americares India Foundation | Jaipur, Rajasthan
International Development - RFP - Baseline assessment for a community centered intervention to address Non-Communicable Disease burden, Americares India Foundation, Rajasthan - DevNetJobsIndia.org
Jobseekers:
Login
|
Register
Home
Value Membership
Broadcast Resume
RFPs/Tenders
Search Jobs
Events
Jobseekers:
Login
|
Register
Jobseekers Login
Jobseekers Register
Job ID:
285788
RFP - Baseline assessment for a community centered intervention to address Non-Communicable Disease burden
Americares India Foundation
Location:
Jaipur,
Rajasthan
Apply by:
22 Feb 2026
Relevant Sectors
Health, Doctors, Nurses, HIV/AIDS, Nutrition
Monitoring, Evaluation, Policy, Research
Request for Proposal
Baseline assessment for a community centered intervention to address Non-Communicable Disease burden
BACKGROUND
Americares India Foundation (AIF) is a leading health-focused relief and development organization. The organization has implemented Project NCDISHAA (
N
on-
C
ommunicable
D
isease
I
ntervention for
S
creening
H
ealth
A
wareness and
A
ccess) in Mumbai since 2020, screening over 270,000 individuals in 108 communities of 6 wards, achieving 20% Non-Communicable Disease (NCD) detection and adherence among 5,000 high-risk patients. This scalable model informs the Jaipur rollout where the program is being replicated after successful implementation of the same in Mumbai. The goal of NCDISHAA is improving NCD detection, management, and overall health outcome in the community, focusing on diabetes and hypertension. The project aims to work closely with existing health systems, public, private, and not-for-profit to strengthen their capacity to manage diabetes and hypertension. In Jaipur, NCDISHAA is a 3.5-year program starting from January 2026 through March 2029.
Mobile Health Care (MHC) van is AIF’s flagship program that is operational in 13 wards of Mumbai since 2020 and is now being implemented in Jaipur since January 2026. NCD patients identified during NCDISHAA program implementation will be referred to MHC vans for treatment. In Mumbai, MHC vans cater to 130 locations within the wards with 5000 population each. Mobile health vans provide free consultation and medicines to community to address communicable and non-communicable diseases. We aim to improve the overall health and well-being of the target beneficiaries, primarily in these key areas of Non-Communicable Diseases (NCDs), infectious (such as COVID-19), vector-borne diseases and mental health, through this comprehensive health education and services approach.
RATIONALE FOR NCDISHAA
Non-Communicable Diseases (NCDs) are one of the major challenges for public health in the 21
st
?century. In 2016, NCDs contributed to 55% of India’s
total disease burden- ‘disability-adjusted life years’ (DALYs) and 61% of deaths up from 30% and 37% respectively in 1990
1
. With a 11% prevalence of diabetes and 35% prevalence of hypertension, India is estimated to be home to over 101 million diabetes and 315 million hypertension patients
2
.
Jaipur, the capital of Rajasthan, is home to approximately 4.4 million residents, is witnessing a rising burden of Non-Communicable Diseases (NCDs), notably hypertension, diabetes and obesity. As per NFHS-5, the prevalence of elevated blood glucose and hypertension among adults aged 30 years and above stands at 8.1% and 16.6% respectively – levels that are comparable or slightly higher than those observed in other major urban cities of Rajasthan such as Jodhpur, Kota, Udaipur, and Ajmer. Local studies, including the Jaipur Heart Watch, further report higher diabetes prevalence (10-13%), underscoring a significant and growing public health challenge. The city’s dense slum settlements, poor living conditions, and limited access to preventive and curative healthcare exacerbate this burden. Despite comparable prevalence rates, awareness, treatment initiation, and control of NCDs remain considerably lower among Jaipur’s urban poor, necessitating a focused, community-based approach to prevention and management.
To address this challenge, Americares India Foundation (AIF), in partnership with Novartis Healthcare Private Limited, proposes a four-year community-based NCD intervention within Jaipur Municipal Corporation (JMC) limits. The program will emphasize early detection, treatment initiation, and sustained behavior change for individuals affected by hypertension, diabetes, and dyslipidaemia. The initiative will align with and complement ongoing efforts under the National Health Mission (NHM) and the Ministry of Health and Family Welfare (MoHFW).
AIF brings a strong implementation foundation and credibility in Rajasthan, having successfully upgraded 16 Primary Health Centres across Pali, Nagaur, and Ajmer districts over the past three years in collaboration with the Department of Public Health. This experience demonstrates AIF’s deep understanding of the state health system, operational capabilities, and community engagement expertise – positioning it well to implement a scalable and impactful NCD model in Jaipur’s low-income settlements. AIF will also leverage its relationship with WHO’s India country office, which supports the Government of Rajasthan on NCDs, to successfully implement the proposed project.
KEY OBJECTIVES FOR NCDISHAA PROGRAM
Increase awareness and knowledge among 500,000 individuals (30 years and above) about diabetes &amp; hypertension and
help communities identify risk factors, motivate them to adopt and maintain health-seeking behaviors and practices, address misconceptions and fears, identify and mitigate risk factors, motivate for lifestyle modifications and usage of available NCD services
Early detection of diabetes and hypertension through household screening of 250,000 low-income communities and register individuals detected in the public health system for treatment and follow-up. ASHA and Arogya Mitras would identify and register individuals at the time of household screening
To bring positive behavioral changes among 10,000 confirmed diabetic and hypertensive patients, with serious/uncontrolled condition, in terms of Diet
,
Medication compliance
,
Exercise
and Doctor follow up visits
Strengthening capacities of 50 public health facilities (150 ASHAs and 50 staff health care workers) and 100 selected private/not-for-profit health care providers, close to the target communities and building a strong referral network for sustainable access.
Monitor and document Quality of Life (QOL) improvement among sample using validated and pre-tested QOL scale
Increase and sustain access to primary healthcare services with a focus on diabetes and hypertension for poor / low-income communities in Jaipur. Mobile Health Centres will act as an important referral center for individuals with diabetes and hypertension and increase awareness of healthy practices and preventive measures for non-communicable and communicable diseases through targeted health education at Mobile Health Clinics
APPLICATION PROCESS
Eligible interested agencies must submit a statement of interest with a cover letter indicating the agency’s interest in the project highlighting its qualities to perform this project and previous experiences.
PROPOSAL EVALUATION CRITERIA
Proposals will be evaluated based on:
Cost-Effectiveness (20%): Competitive pricing while meeting quality standards
Experience and Capacity (30%): Relevant experience, team size, and ability to undertake baseline assessment
Quality of Proposal (40%): Clarity, completeness, and alignment with scope
References and Past Performance (10%): Feedback from prior engagements
Please submit quotation in soft copy over email to Itisha Vasisht at
ivasisht@americares.org
and Priyanka Londhe at
plondhe@americares.org
with the subject line “Proposal for conducting NCD baseline in Jaipur”.
For detailed information, please check the complete version of the RFP attached below.
Download Attachment:
NCDISHAA baseline RFP (Jaipur).v2.pdf
View Similar Jobs:
Was this job of interest to you? Subscribe to Value Membership to get access to similar jobs and hundreds of other member-only jobs.
Subscribe
Apply by:
22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5" s="2" t="inlineStr">
        <is>
          <t>• PROPOSAL EVALUATION CRITERIA
Proposals will be evaluated based on:
Cost-Effectiveness (20%): Competitive pricing while meeting quality standards
Experience and Capacity (30%): Relevant experience, team size, and ability to undertake baseline assessment
Quality of Proposal (40%): Clarity, completeness, and alignment with scope
References and Past Performance (10%): Feedback from prior engagements
Please submit quotation in soft copy over email to Itisha Vasisht at
ivasisht@americares.org
and Priyanka Londhe at
plondhe@americares.org
with the subject line “Proposal for conducting NCD baseline in Jaipur”.
For detailed information, please check the complete version of the RFP attached below.
Download Attachment:
NCDISHAA baseline RFP (Jaipur).v2.pdf
View Similar Jobs:
Was this job of interest to you? Subscribe to Value Membership to get access to similar jobs and hundreds of other member-only jobs.
Subscribe
Apply by:
22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5" s="1" t="inlineStr">
        <is>
          <t>Learning</t>
        </is>
      </c>
      <c r="G15" s="1" t="inlineStr">
        <is>
          <t>22-02-2026</t>
        </is>
      </c>
      <c r="H15" s="1" t="n">
        <v>6</v>
      </c>
      <c r="I15" s="1">
        <f>HYPERLINK("https://www.devnetjobsindia.org/JobDescription.aspx?Job_Id=285788","RFP - Baseline assessment for a community centered intervention to address...")</f>
        <v/>
      </c>
    </row>
    <row r="16">
      <c r="A16" s="1" t="inlineStr">
        <is>
          <t>DevNetJobsIndia</t>
        </is>
      </c>
      <c r="B16" s="1" t="inlineStr"/>
      <c r="C16" s="1" t="inlineStr">
        <is>
          <t>RFP - Hiring Agency/Organisation for the implementation of biosecurity at ...</t>
        </is>
      </c>
      <c r="D16" s="2" t="inlineStr">
        <is>
          <t>Jhpiego | India
International Development - RFP - Hiring Agency/Organisation for the implementation of biosecurity at human – Animal interfaces, Jhpiego, India - DevNetJobsIndia.org
Jobseekers:
Login
|
Register
Home
Value Membership
Broadcast Resume
RFPs/Tenders
Search Jobs
Events
Jobseekers:
Login
|
Register
Jobseekers Login
Jobseekers Register
Job ID:
287080
RFP - Hiring Agency/Organisation for the implementation of biosecurity at human – Animal interfaces
Jhpiego
Location:
India
Apply by:
22 Feb 2026
Relevant Sectors
Agriculture, Livelihoods, Microfinance, Rural, Urban
Infrastructure, Technology, Engineering, Science
Jhpiego Corporation, India
R
E
Q
U
E
S
TF
O
R
PROPOSAL   (RFP)
SUBJECT:
Hiring Agency/Organisation   for the implementation of biosecurity at human – Animal interfaces
ISSUE DATE: February 12,   2026
SUBMISSION DEADLINE:
February 22, 2026
SUBMISSION ADDRESS:
jhpin.procurement@jhpiego.org
(For submission of proposals)
Email:
Ankur.Bhardwaj
@jhpiego.org
(For queries only)
Office Telephone
:
Tel: +91 11   49575100
Pre – Bid Meeting – 19 February 2026 3.00 PM to 3.30 PM
Microsoft   Teams meeting
Join:
https://teams.microsoft.com/meet/29287764125131?p=Ad3Ly029KrAFgdMm8H
Meeting   ID: 292 877 641 251 31
Passcode:   Kx9x6Q2t
BID OPENING: - February 23, 2026
AWARD /START DATE (selection of partner)- March 20
, 2026 (tentative)
About   Jhpiego:
Jhpiego is a nonprofit global health leader and Johns Hopkins   University affiliate that is saving lives, improving health, and transforming   futures. We partner with governments, health experts and local communities to   build the skills and systems that guarantee a healthier future for women and   families. Jhpiego translates the best science and practice into moments of   care that can mean the difference between life and death for women and   families. The moment a woman gives birth; the moment a midwife helps a newborn   to breath. Through our partnerships, we are revolutionizing health care for   the world’s most disadvantaged and vulnerable people.
In India, Jhpiego works across various states in close collaboration   with national and state governments, providing technical assistance in the   areas of family planning, maternal and child health, strengthening human   resources for health, and non-communicable diseases. These programs are   funded by Takeda Pharmaceutical Company Limited, Unitaid, UNICEF, World   Health Organization, University of Manitoba, Bill &amp; Melinda Gates   Foundation, MSD for Mothers and others. Multiple programs implemented by Jhpiego   with different state governments are having specific learning agenda and   objectives. Each program involves wide range of data collection in various   implementation geographies across India.
About   the Project:
RISE (Reaching Impact, Saturation and Epidemic Control) project is a   global health project working on priority lifesaving HIV and Global Health   Security programming in India.
Preferred vendor:   None
This RFP includes following:
Section 1 - Information   to bidders
Section 2 - Technical   Proposal - Standard Template
Section 3 - Financial   Proposal - Standard Template
Section 4 - Scope of Work
Section 5 –
Vendor Information Form– Standard   Template
Section 6 - Standard   Template of Technical Service Contract
For detailed information, please check the complete version of the RFP attached below.
Job Email ID:
jhpin.procurement(at)jhpiego.org
Download Attachment:
RFP - Hiring agency for the implementation of biosecurity.pdf
View Similar Jobs:
Was this job of interest to you? Subscribe to Value Membership to get access to similar jobs and hundreds of other member-only jobs.
Subscribe
Apply by:
22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6" s="2" t="inlineStr">
        <is>
          <t>• Section 4 - Scope of Work
Section 5 –
Vendor Information Form– Standard   Template
Section 6 - Standard   Template of Technical Service Contract
For detailed information, please check the complete version of the RFP attached below.
• Job Email ID:
jhpin.procurement(at)jhpiego.org
Download Attachment:
RFP - Hiring agency for the implementation of biosecurity.pdf
View Similar Jobs:
Was this job of interest to you? Subscribe to Value Membership to get access to similar jobs and hundreds of other member-only jobs.
Subscribe
Apply by:
22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6" s="1" t="inlineStr">
        <is>
          <t>Safety</t>
        </is>
      </c>
      <c r="G16" s="1" t="inlineStr">
        <is>
          <t>22-02-2026</t>
        </is>
      </c>
      <c r="H16" s="1" t="n">
        <v>6</v>
      </c>
      <c r="I16" s="1">
        <f>HYPERLINK("https://www.devnetjobsindia.org/JobDescription.aspx?Job_Id=287080","RFP - Hiring Agency/Organisation for the implementation of biosecurity at ...")</f>
        <v/>
      </c>
    </row>
    <row r="17">
      <c r="A17" s="1" t="inlineStr">
        <is>
          <t>DevNetJobsIndia</t>
        </is>
      </c>
      <c r="B17" s="1" t="inlineStr"/>
      <c r="C17" s="1" t="inlineStr">
        <is>
          <t>RFP - For Pilot Testing and Deployment of AgriVaani Application</t>
        </is>
      </c>
      <c r="D17" s="2" t="inlineStr">
        <is>
          <t>Lords Education and Health Society (LEHS) | India
International Development - RFP - For Pilot Testing and Deployment of AgriVaani Application, Lords Education and Health Society (LEHS), India - DevNetJobsIndia.org
Jobseekers:
Login
|
Register
Home
Value Membership
Broadcast Resume
RFPs/Tenders
Search Jobs
Events
Jobseekers:
Login
|
Register
Jobseekers Login
Jobseekers Register
Job ID:
285889
RFP - For Pilot Testing and Deployment of AgriVaani Application
Lords Education and Health Society (LEHS)
Location:
India
Apply by:
23 Feb 2026
Relevant Sectors
Administration, HR, Management, Accounting/Finance
Monitoring, Evaluation, Policy, Research
REQUEST FOR PROPOSAL (RFP)
For Pilot Testing and Deployment of AgriVaani Application
Closing Date for Submission
February 23, 2026, at 23:59
INTRODUCTION
LEHS is a charitable organisation in India whose purpose is to offer basic health and education for the poor. LEHS in furtherance of charitable objectives through its flagship programs, Wadhwani AI, which aims to build equitable and sustainable systems by making quality primary healthcare available and accessible to the underserved population, and to bring the benefits of modern AI technology to underserved populations by building and deploying AI solutions for social impact across domains such as healthcare, agriculture, governance, and education in India. LEHS aims to promote the integration of technologies, particularly in emerging domains like artificial intelligence and innovations into the Indian mainstream primary healthcare, education, and agriculture systems through a partnership with the State and National Government, apex institutions, international agencies, and private sector partners e.g. innovators, social enterprises and other ecosystem contributors in line with its stated objectives for the betterment of society particularly focusing on projects of national and social significance.
Wadhwani AI, a unit of LEHS, focuses on developing, deploying, and evaluating artificial intelligence solutions to address critical social challenges in India, particularly in domains such as healthcare, agriculture, and education.
LEHS aims to promote the integration of technologies, particularly in emerging domains like artificial intelligence and innovations into the Indian mainstream primary healthcare, education, and agriculture systems through a partnership with the State and National Government, apex institutions, international agencies, and private sector partners e.g. innovators, social enterprises and other ecosystem contributors in line with its stated objectives for the betterment of society particularly focusing on projects of national and social significance. In line with its mission to support projects of national and social significance, LEHS also undertakes rigorous monitoring, evaluation, and learning (MEL) activities to assess the impact, usability, and scalability of different programmatic interventions.
BACKGROUND
Indian farmers face significant challenges due to Inadequate Extension Services. The national ratio of extension workers to operational holdings in India is 1:1162, far from the recommended ratio of 1:750. In hilly areas, the recommendation is 1:400. Fragmented Agricultural Information Systems, where data silos and limited integration limit access to timely, localised, and actionable information. Existing AI/ML tools are either proprietary, not open-source, not multilingual, or lack real-time integration. These issues contribute to poor productivity, increased economic vulnerabilities, food insecurity, and unsustainable farming practices.
Wadhwani AI is developing an Open-sourceable Agricultural Domain-specific Language Model (DLM), which will power a multimodal, multilingual, and contextual conversational AI application called AgriVaani that delivers localised, timely, and actionable advisories to Indian smallholder farmers and Extension Workers (EWs). It will serve as the core engine for farmer assistance, piloted after experts and internal validation. In 2025, our primary focus will be on developing a text-based conversational model fine-tuned on agriculture
domain curated conversational datasets. These models aim to provide accurate and relevant responses to user queries, especially in the Indian agricultural domain.
For detailed information, please check the complete version of the RFP attached below.
Download Attachment:
RFP_Pilot and Deployment of AgriVaani.pdf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7" s="2" t="inlineStr">
        <is>
          <t>N/A</t>
        </is>
      </c>
      <c r="F17" s="1" t="inlineStr">
        <is>
          <t>Learning, Safety</t>
        </is>
      </c>
      <c r="G17" s="1" t="inlineStr">
        <is>
          <t>23-02-2026</t>
        </is>
      </c>
      <c r="H17" s="1" t="n">
        <v>7</v>
      </c>
      <c r="I17" s="1">
        <f>HYPERLINK("https://www.devnetjobsindia.org/JobDescription.aspx?Job_Id=285889","RFP - For Pilot Testing and Deployment of AgriVaani Application")</f>
        <v/>
      </c>
    </row>
    <row r="18">
      <c r="A18" s="1" t="inlineStr">
        <is>
          <t>DevNetJobsIndia</t>
        </is>
      </c>
      <c r="B18" s="1" t="inlineStr"/>
      <c r="C18" s="1" t="inlineStr">
        <is>
          <t>Public Health Specialist (Planning Section)</t>
        </is>
      </c>
      <c r="D18" s="2" t="inlineStr">
        <is>
          <t>The Voluntary Health Services (VHS) | Delhi
International Development - Public Health Specialist (Planning Section), The Voluntary Health Services (VHS), Delhi - DevNetJobsIndia.org
Jobseekers:
Login
|
Register
Home
Value Membership
Broadcast Resume
RFPs/Tenders
Search Jobs
Events
Jobseekers:
Login
|
Register
Jobseekers Login
Jobseekers Register
Job ID:
285813
Public Health Specialist (Planning Section)
The Voluntary Health Services (VHS)
Location:
Delhi
Apply by:
23 Feb 2026
Relevant Sectors
Capacity Building, Training, Advocacy
Health, Doctors, Nurses, HIV/AIDS, Nutrition
Projects Division, The Voluntary Health Services, Chennai -600113
Job Title
Public Health Specialist (Planning Section)
No. of position
1 Position
Project
VHS-CDC Project NIRANTAR
Location
Delhi
Last date to apply
February 23, 2026
About VHS:
The
Voluntary Health Services (VHS) Chennai supported by Centers for Disease Control and Prevention (CDC) on
“Accelerating Sustainability of Public Health Systems in India to Prevent, Detect, and Respond to Infectious Disease Outbreaks and Other Public Health Emergencies”
(named as VHS-CDC Project NIRANTAR).
The Project NIRANTAR will
primarily focus on strengthening: a) Workforce Development capacity (WFD); b) One Health (OH); c) Emergency Management and Response Capacity (EMR) &amp; Border Health (BH); d) Implementation of the IHR Monitoring and Evaluation Framework (IHR); and e) Implementation of public health programs (supporting development of an oversight committee).
The project is currently looking for a
Public Health Specialist (Planning Section)
to fulfil the following responsibilities.
Responsibilities
Responsible for collecting, evaluating, and disseminating information; developing the jurisdiction’s Action Plan and Situational Status in coordination with other functions; maintaining all EOC documentation.
Creates or compiles contingency plans for priority threats based on risk assessment and maintains roster of relevant stakeholders who are involved in these plans
Conducts After Action Reviews and finalizes After Action Report for any national incidents. Supports jurisdictions with AARs as needed.
Establishes training and exercise schedule for PHEOC staff and jurisdictions (drills, TTX, functional exercises) to test plans
Ensures that the following responsibilities of the Planning Section are addressed as required:
Collect, analyze, and display situation information including developing and communicating operational information.
Prepare periodic Situation Reports
Prepare and distribute EOC Action Plan and facilitate Action Planning process.
Prepare protocols for surveillance at community and hospital facilities.
Track Resources including staff and equipment if applicables
Developing and documenting objectives, strategies and incident action plans
Conduct Advance Planning activities including predicting the probable evolution of events and report.
Document and maintain files on all EOC activities including incident documentation.
Provide technical support services to the various EOC sections and branches.
Establishes the appropriate level of organization for the Planning Section.
Exercises overall responsibility for the coordination of branch / unit activities within the section.
Support competency-building training for Public Health Emergency Operations Centres (PHEOCs) and emergency management personnel, ensuring systematic training evaluation, mentoring, and follow-up support.
Keeps the PHEOC Incharge informed of significant issues affecting the Planning Section.
In coordination with the other Section Chiefs, ensures that Status Reports are completed and utilized as a basis for EOC Situation Reports, and EOC Action Plans.
Prepares and maintains resource status boards and displays current status and location of tactical resources. Identifying the technical expertise (Subject Matter Experts) that is needed during the response.
Developing plans for demobilization
Identifies inaccuracies and conflicting reports.
Coordinates activities with technical areas (sub-committees) and logistics to capture and centralize resource status information.
Responsible for planning and implementation of five-tiered Public Health Emergency and Disaster management- Professional Development Programme (PHEDM-PDP) including PHEM Fellowship
Develop, revise, update and test PHEDM curriculum, incorporating strategic feedback for adaptation, replication, and continuous improvement in content, methodology, and learning outcomes.
Responsible for planning, development and implementation of RRT and RCCE Training Curriculum
Responsible for rolling out the training in the identified states which will be decided in discussion with key stakeholders.
Any other work assigned by the reporting officer.
Eligibility Criteria
Essential Qualifications:
Any Medical Graduate (MBBS/BDS) with Post Graduation Degree/Diploma (DNB, MD, MPH, DPH) in Public Health/Community Medicine/ Preventive &amp; Social Medicine/Epidemiology (FETP)/ EIS.
OR
Any Science Graduate with Doctorate in Public Health and (PhD/DSc or equivalent) or PhD in Public Health/Bio Sciences.
Essential Experience:
At least 5 years of post-qualification work experience in the field of public health and disaster management such as management and Planning of Emergency operations Centres or Control room/War Room
Desirable Experience:
Working experience of designing and implementing Simulation Exercises.
Working experience with government health sector preferably Integrated Disease Surveillance Programme, NCDC or EMR Division/Disaster Management Cell, MoHFW or in Public Safety/Security agencies.
Working experience for health sector preparedness for disasters like flood, cyclone, earthquake etc.
Demonstrated capability in managing advanced technologies, systems (including plans, policies, and procedures), and workforce.
Age limit:
The maximum age limit is 62 years for the above position
Period of engagement:
This appointment shall purely be on a contractual basis. The initial contract will be made till Sep 2026, which may be extended based on performance evaluation.
Remuneration:
Competitive r
emuneration commensurate with qualifications and experience, and aligned with prevailing Project norms
Place of work:
National Centre for Disease Control (NCDC), Directorate General of Health Services (Dte.GHS), Ministry of Health and Family Welfare (MoHFW), Government of India (GoI)
How to apply
Job Email ID: admin(at)vhsprojects.org
Job Email ID:
admin(at)vhsprojects.org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8" s="2" t="inlineStr">
        <is>
          <t>• Last date to apply
February 23, 2026
About VHS:
The
Voluntary Health Services (VHS) Chennai supported by Centers for Disease Control and Prevention (CDC) on
“Accelerating Sustainability of Public Health Systems in India to Prevent, Detect, and Respond to Infectious Disease Outbreaks and Other Public Health Emergencies”
(named as VHS-CDC Project NIRANTAR).
The Project NIRANTAR will
primarily focus on strengthening: a) Workforce Development capacity (WFD); b) One Health (OH); c) Emergency Management and Response Capacity (EMR) &amp; Border Health (BH); d) Implementation of the IHR Monitoring and Evaluation Framework (IHR); and e) Implementation of public health programs (supporting development of an oversight committee).
The project is currently looking for a
Public Health Specialist (Planning Section)
to fulfil the following responsibilities.
Responsibilities
Responsible for collecting, evaluating, and disseminating information; developing the jurisdiction’s Action Plan and Situational Status in coordination with other functions; maintaining all EOC documentation.
Creates or compiles contingency plans for priority threats based on risk assessment and maintains roster of relevant stakeholders who are involved in these plans
Conducts After Action Reviews and finalizes After Action Report for any national incidents. Supports jurisdictions with AARs as needed.
Establishes training and exercise schedule for PHEOC staff and jurisdictions (drills, TTX, functional exercises) to test plans
Ensures that the following responsibilities of the Planning Section are addressed as required:
Collect, analyze, and display situation information including developing and communicating operational information.
Prepare periodic Situation Reports
Prepare and distribute EOC Action Plan and facilitate Action Planning process.
Prepare protocols for surveillance at community and hospital facilities.
Track Resources including staff and equipment if applicables
Developing and documenting objectives, strategies and incident action plans
Conduct Advance Planning activities including predicting the probable evolution of events and report.
Document and maintain files on all EOC activities including incident documentation.
Provide technical support services to the various EOC sections and branches.
Establishes the appropriate level of organization for the Planning Section.
Exercises overall responsibility for the coordination of branch / unit activities within the section.
Support competency-building training for Public Health Emergency Operations Centres (PHEOCs) and emergency management personnel, ensuring systematic training evaluation, mentoring, and follow-up support.
Keeps the PHEOC Incharge informed of significant issues affecting the Planning Section.
In coordination with the other Section Chiefs, ensures that Status Reports are completed and utilized as a basis for EOC Situation Reports, and EOC Action Plans.
Prepares and maintains resource status boards and displays current status and location of tactical resources. Identifying the technical expertise (Subject Matter Experts) that is needed during the response.
Developing plans for demobilization
Identifies inaccuracies and conflicting reports.
Coordinates activities with technical areas (sub-committees) and logistics to capture and centralize resource status information.
Responsible for planning and implementation of five-tiered Public Health Emergency and Disaster management- Professional Development Programme (PHEDM-PDP) including PHEM Fellowship
Develop, revise, update and test PHEDM curriculum, incorporating strategic feedback for adaptation, replication, and continuous improvement in content, methodology, and learning outcomes.
Responsible for planning, development and implementation of RRT and RCCE Training Curriculum
Responsible for rolling out the training in the identified states which will be decided in discussion with key stakeholders.
Any other work assigned by the reporting officer.
• Eligibility Criteria
Essential Qualifications:
Any Medical Graduate (MBBS/BDS) with Post Graduation Degree/Diploma (DNB, MD, MPH, DPH) in Public Health/Community Medicine/ Preventive &amp; Social Medicine/Epidemiology (FETP)/ EIS.
OR
Any Science Graduate with Doctorate in Public Health and (PhD/DSc or equivalent) or PhD in Public Health/Bio Sciences.
Essential Experience:
At least 5 years of post-qualification work experience in the field of public health and disaster management such as management and Planning of Emergency operations Centres or Control room/War Room
Desirable Experience:
Working experience of designing and implementing Simulation Exercises.
Working experience with government health sector preferably Integrated Disease Surveillance Programme, NCDC or EMR Division/Disaster Management Cell, MoHFW or in Public Safety/Security agencies.
Working experience for health sector preparedness for disasters like flood, cyclone, earthquake etc.
Demonstrated capability in managing advanced technologies, systems (including plans, policies, and procedures), and workforce.
Age limit:
The maximum age limit is 62 years for the above position
Period of engagement:
This appointment shall purely be on a contractual basis. The initial contract will be made till Sep 2026, which may be extended based on performance evaluation.
Remuneration:
Competitive r
emuneration commensurate with qualifications and experience, and aligned with prevailing Project norms
Place of work:
National Centre for Disease Control (NCDC), Directorate General of Health Services (Dte.GHS), Ministry of Health and Family Welfare (MoHFW), Government of India (GoI)
• How to apply
• Job Email ID: admin(at)vhsprojects.org
• Job Email ID:
admin(at)vhsprojects.org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8" s="1" t="inlineStr">
        <is>
          <t>Governance, Safety</t>
        </is>
      </c>
      <c r="G18" s="1" t="inlineStr">
        <is>
          <t>23-02-2026</t>
        </is>
      </c>
      <c r="H18" s="1" t="n">
        <v>7</v>
      </c>
      <c r="I18" s="1">
        <f>HYPERLINK("https://www.devnetjobsindia.org/JobDescription.aspx?Job_Id=285813","Public Health Specialist (Planning Section)")</f>
        <v/>
      </c>
    </row>
    <row r="19">
      <c r="A19" s="1" t="inlineStr">
        <is>
          <t>DevNetJobsIndia</t>
        </is>
      </c>
      <c r="B19" s="1" t="inlineStr"/>
      <c r="C19" s="1" t="inlineStr">
        <is>
          <t>Operations Expert</t>
        </is>
      </c>
      <c r="D19" s="2" t="inlineStr">
        <is>
          <t>The Voluntary Health Services (VHS) | Delhi
International Development - Operations Expert, The Voluntary Health Services (VHS), Delhi - DevNetJobsIndia.org
Jobseekers:
Login
|
Register
Home
Value Membership
Broadcast Resume
RFPs/Tenders
Search Jobs
Events
Jobseekers:
Login
|
Register
Jobseekers Login
Jobseekers Register
Job ID:
285812
Operations Expert
The Voluntary Health Services (VHS)
Location:
Delhi
Apply by:
23 Feb 2026
Relevant Sectors
Health, Doctors, Nurses, HIV/AIDS, Nutrition
Job Title
Operations   Expert
No. of position
1 Position
Project
VHS-CDC Project NIRANTAR
Location
Delhi
Last date to   apply
February 23, 2026
About VHS:
The
Voluntary Health Services (VHS)
Chennai supported by Centers for Disease Control and Prevention (CDC) on
“Accelerating Sustainability of Public Health Systems in India to Prevent, Detect, and Respond to Infectious Disease Outbreaks and Other Public Health Emergencies”
(named as VHS-CDC Project NIRANTAR).
The Project NIRANTAR will
primarily focus on strengthening: a) Workforce Development capacity (WFD); b) One Health (OH); c) Emergency Management and Response Capacity (EMR) &amp; Border Health (BH); d) Implementation of the IHR Monitoring and Evaluation Framework (IHR); and e) Implementation of public health programs (supporting development of an oversight committee).
The project is currently looking for
Operations Expert
, to fulfil the following responsibilities.
Responsibilities:
Responsible for coordinating all jurisdictional operations in support of the emergency response through implementation of the jurisdiction’s Action Plan.
Ensure that the Operations Coordination function is carried out including coordination of response for all operational functions assigned to the Emergency Operations Centre (EOC).
Ensure that operational objectives and assignments identified in the EOC Action Plan are carried out effectively. This includes Implementing strategies and developing tactics to carry out the incident objectives and ensuring there are staff to fill these roles
Establish the appropriate level of Branch and Unit organizations within the Operations Section, continuously monitoring the effectiveness and modifying accordingly.
Coordinate any activated SEOCs/DEOCs in the operational area and establish a system of daily reporting from SEOCs/DEOCs.
Maintain a communications link between Incident Commanders (sites), DOCs and the EOC for the purpose of coordinating the overall response, resource requests and event status information.
Ensure that the Planning Section is provided with Branch Status Reports and Major Incident Reports.
Conduct periodic operations briefings for the PHEOC Incharge and Management team as required or requested.
Submit the approved contingency/ incident action plan and request for funds to competent authority.
Supporting the development of the Incident Action Plan to ensure it accurately reflects current operations.
Organizing, assigning, and supervising the tactical response resources
Ensure the verification of the incident, rumours and suspected cases.
Manage the implementation within the approved budget.
Manage outbreak data: analyse data regularly for trends and establish transmission chains.
Provide strategic and technical support for strengthening PHEOC operations, including development and adaptation of standardized curricula, guidelines, SOPs, operational tools, and response frameworks aligned with national and international best practices.
Prepare and submit cumulative and progress implementation report.
Responsible for planning and implementation of five-tiered Public Health Emergency and Disaster management- Professional Development Programme (PHEDM-PDP) including PHEM Fellowship
Develop, revise, update and test PHEDM curriculum, incorporating strategic feedback for adaptation, replication, and continuous improvement in content, methodology, and learning outcomes.
Responsible for planning, development and implementation of RRT and RCCE Training Curriculum
Responsible for rolling out the training in the identified states which will be decided in discussion with key stakeholders.
Any other work assigned by the reporting officer.
Eligibility Criteria
Essential Qualifications:
Any Medical Graduate (MBBS/BDS) with Post Graduation Degree/Diploma (DNB, MD, MPH, DPH) in Public Health/Community Medicine/ Preventive &amp; Social Medicine/Epidemiology (FETP)/ EIS.
OR
Any Science Graduate with Doctorate in Public Health and (PhD/DSc or equivalent) or PhD in Public Health/Bio Sciences.
Essential Experience:
This position requires five (5) years of experience working on public health programs out of which at least three (3) years of experience at national level on disease surveillance focused on outbreak prone diseases including management of public health emergencies or the public health aspect of disaster management, Health Emergency Operations Centres (HEOC) or Emergency Operations Centres (EOC) or Control room/War Room
Desirable Experience:
Working experience in Public Safety/Security agencies
.
Subject
matter
expert with public health or disaster management or related background
Working experience for health sector preparedness for disasters like flood, cyclone, earthquake etc.
Demonstrated capability in managing advanced technologies, systems (including plans, policies, and procedures), and workforce.
Age limit:
The maximum age limit is 62 years for the above position (relaxation of 05 years for those candidates who have working experience in military/paramilitary/ law enforcement agencies).
Period of engagement:
This appointment shall purely be on a contractual basis. The initial contract will be made till Sep 2026, which may be extended based on performance evaluation.
Remuneration:
Competitive r
emuneration commensurate with qualifications and experience, and aligned with prevailing Project norms
Place of work:
National Centre for Disease Control (NCDC), Directorate General of Health Services (Dte.GHS), Ministry of Health and Family Welfare (MoHFW), Government of India (GoI)
How to apply
Job Email ID: admin(at)vhsprojects.org
Job Email ID:
admin(at)vhsprojects.org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19" s="2" t="inlineStr">
        <is>
          <t>• Eligibility Criteria
Essential Qualifications:
Any Medical Graduate (MBBS/BDS) with Post Graduation Degree/Diploma (DNB, MD, MPH, DPH) in Public Health/Community Medicine/ Preventive &amp; Social Medicine/Epidemiology (FETP)/ EIS.
OR
Any Science Graduate with Doctorate in Public Health and (PhD/DSc or equivalent) or PhD in Public Health/Bio Sciences.
Essential Experience:
This position requires five (5) years of experience working on public health programs out of which at least three (3) years of experience at national level on disease surveillance focused on outbreak prone diseases including management of public health emergencies or the public health aspect of disaster management, Health Emergency Operations Centres (HEOC) or Emergency Operations Centres (EOC) or Control room/War Room
Desirable Experience:
Working experience in Public Safety/Security agencies
.
Subject
matter
expert with public health or disaster management or related background
Working experience for health sector preparedness for disasters like flood, cyclone, earthquake etc.
Demonstrated capability in managing advanced technologies, systems (including plans, policies, and procedures), and workforce.
Age limit:
The maximum age limit is 62 years for the above position (relaxation of 05 years for those candidates who have working experience in military/paramilitary/ law enforcement agencies).
Period of engagement:
This appointment shall purely be on a contractual basis. The initial contract will be made till Sep 2026, which may be extended based on performance evaluation.
Remuneration:
Competitive r
emuneration commensurate with qualifications and experience, and aligned with prevailing Project norms
Place of work:
National Centre for Disease Control (NCDC), Directorate General of Health Services (Dte.GHS), Ministry of Health and Family Welfare (MoHFW), Government of India (GoI)
• How to apply
• Job Email ID: admin(at)vhsprojects.org
• Job Email ID:
admin(at)vhsprojects.org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19" s="1" t="inlineStr">
        <is>
          <t>Safety</t>
        </is>
      </c>
      <c r="G19" s="1" t="inlineStr">
        <is>
          <t>23-02-2026</t>
        </is>
      </c>
      <c r="H19" s="1" t="n">
        <v>7</v>
      </c>
      <c r="I19" s="1">
        <f>HYPERLINK("https://www.devnetjobsindia.org/JobDescription.aspx?Job_Id=285812","Operations Expert")</f>
        <v/>
      </c>
    </row>
    <row r="20">
      <c r="A20" s="1" t="inlineStr">
        <is>
          <t>DevNetJobsIndia</t>
        </is>
      </c>
      <c r="B20" s="1" t="inlineStr"/>
      <c r="C20" s="1" t="inlineStr">
        <is>
          <t>RFP - Supply, Installation, Testing, Commissioning and Comprehensive Maint...</t>
        </is>
      </c>
      <c r="D20" s="2" t="inlineStr">
        <is>
          <t>Catholic Health Association of India (CHAI) | Karnataka
International Development - RFP - Supply, Installation, Testing, Commissioning and Comprehensive Maintenance of Solar Energy Solutions: Grid Connected Rooftop Solar, Catholic Health Association of India (CHAI), Karnataka - DevNetJobsIndia.org
Jobseekers:
Login
|
Register
Home
Value Membership
Broadcast Resume
RFPs/Tenders
Search Jobs
Events
Jobseekers:
Login
|
Register
Jobseekers Login
Jobseekers Register
Job ID:
285914
RFP - Supply, Installation, Testing, Commissioning and Comprehensive Maintenance of Solar Energy Solutions: Grid Connected Rooftop Solar
Catholic Health Association of India (CHAI)
Location:
Karnataka
Apply by:
23 Feb 2026
Relevant Sectors
Administration, HR, Management, Accounting/Finance
Environment, Climate, Energy, Water, Sanitation
REQUEST FOR PROPOSAL (RfP)
CHAI invites bids for the Supply, Installation, Testing, Commissioning and Comprehensive Maintenance of Solar Energy Solutions: Grid Connected Rooftop Solar (with Net metering) at St. Philomena’s Hospital in Bengaluru, Karnataka (Approx. total size 40 kWp) as per specification given in Scope of Work of Bid Document.
Catholic Health Association of India (CHAI) is inviting potential suppliers, with good repute and ability to supply the following required materials and services through procurement method Quality-cum-Cost Based Selection (QCBS). Supplier Selection Processes shall be based on supplier’s ability to offer the most cost effective &amp; competitive rate with high product quality, compliance with technical specifications and requirements, and timely delivery of goods/services.
We request you to submit your offer as per the specifications detailed in Annexure 1 and the site details provided in Annexure 2. Please submit the cost details as per Annexure 3 and the organizational information as outlined in Annexure 4.
About CHAI:
The Catholic Health Association of India (CHAI) is a Network of 3572 Healthcare and Social Service Institutions across India. The network is divided into 11 regional units spanning the length and breadth of the country. By serving 21 million (approximately 1.5% of India’s population) patients annually across the country, most of them poor, CHAI plays a vital role in Indian healthcare. The network’s national reach and deep grassroots presence are a unique and formidable asset, made even stronger by the profound commitment of its volunteers.
CHAI is a not-for-profit organization that works in various areas of health care, touching the lives of 12 million marginalized people every year. Leveraging the scale and reach of the network of its member institutions, CHAI has been successful in implementing a wide variety of projects in Community Health, Communicable Diseases, Non-Communicable Diseases, Palliative Care, Disability, Disaster Intervention and Strengthening of the Healthcare System.
Address:
The Catholic Health Association of India
157/6, Staff Road, Gunrock Enclave,
Secunderabad – 500009, Telangana
REQUIREMENT :
CHAI hereby invites eligible vendors to bid through this Request for Proposal (RFP) for carrying out the Supply, Installation, Testing and Commissioning including 5 years operation, comprehensive warranty, and maintenance of Grid Connected Rooftop Solar with Net-metering arrangement of total tentative capacity of 40 kWp solar photovolatic to be installed at St. Philomena’s Hospital in Bengaluru, Karnataka. Facility information is detailed in Annexure 2.
As part of the proposal, we request you to provide necessary details in Annexure 3 and 4, in accordance with information stipulated under the Terms and Conditions and specifications in Annexure 1 and 2.
You are requested to revert back with your proposal/quotation on the following email addresses:
chaipc@chai-india.org
,
The communication should be received by CHAI on or before
23rd February 2026
For detailed information, please check the complete version of the RFP attached below.
Download Attachment:
Annexures for RfP.docx
Download Attachment:
RfP_Terms of Reference_solar.docx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0" s="2" t="inlineStr">
        <is>
          <t>• CHAI invites bids for the Supply, Installation, Testing, Commissioning and Comprehensive Maintenance of Solar Energy Solutions: Grid Connected Rooftop Solar (with Net metering) at St. Philomena’s Hospital in Bengaluru, Karnataka (Approx. total size 40 kWp) as per specification given in Scope of Work of Bid Document.
• Catholic Health Association of India (CHAI) is inviting potential suppliers, with good repute and ability to supply the following required materials and services through procurement method Quality-cum-Cost Based Selection (QCBS). Supplier Selection Processes shall be based on supplier’s ability to offer the most cost effective &amp; competitive rate with high product quality, compliance with technical specifications and requirements, and timely delivery of goods/services.
We request you to submit your offer as per the specifications detailed in Annexure 1 and the site details provided in Annexure 2. Please submit the cost details as per Annexure 3 and the organizational information as outlined in Annexure 4.
About CHAI:
The Catholic Health Association of India (CHAI) is a Network of 3572 Healthcare and Social Service Institutions across India. The network is divided into 11 regional units spanning the length and breadth of the country. By serving 21 million (approximately 1.5% of India’s population) patients annually across the country, most of them poor, CHAI plays a vital role in Indian healthcare. The network’s national reach and deep grassroots presence are a unique and formidable asset, made even stronger by the profound commitment of its volunteers.
CHAI is a not-for-profit organization that works in various areas of health care, touching the lives of 12 million marginalized people every year. Leveraging the scale and reach of the network of its member institutions, CHAI has been successful in implementing a wide variety of projects in Community Health, Communicable Diseases, Non-Communicable Diseases, Palliative Care, Disability, Disaster Intervention and Strengthening of the Healthcare System.
Address:
The Catholic Health Association of India
157/6, Staff Road, Gunrock Enclave,
Secunderabad – 500009, Telangana
REQUIREMENT :
CHAI hereby invites eligible vendors to bid through this Request for Proposal (RFP) for carrying out the Supply, Installation, Testing and Commissioning including 5 years operation, comprehensive warranty, and maintenance of Grid Connected Rooftop Solar with Net-metering arrangement of total tentative capacity of 40 kWp solar photovolatic to be installed at St. Philomena’s Hospital in Bengaluru, Karnataka. Facility information is detailed in Annexure 2.
• As part of the proposal, we request you to provide necessary details in Annexure 3 and 4, in accordance with information stipulated under the Terms and Conditions and specifications in Annexure 1 and 2.
You are requested to revert back with your proposal/quotation on the following email addresses:
chaipc@chai-india.org
,
The communication should be received by CHAI on or before
23rd February 2026
For detailed information, please check the complete version of the RFP attached below.
Download Attachment:
Annexures for RfP.docx
Download Attachment:
RfP_Terms of Reference_solar.docx
View Similar Jobs:
Was this job of interest to you? Subscribe to Value Membership to get access to similar jobs and hundreds of other member-only jobs.
Subscribe
Apply by:
23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0" s="1" t="inlineStr">
        <is>
          <t>Learning, Safety</t>
        </is>
      </c>
      <c r="G20" s="1" t="inlineStr">
        <is>
          <t>23-02-2026</t>
        </is>
      </c>
      <c r="H20" s="1" t="n">
        <v>7</v>
      </c>
      <c r="I20" s="1">
        <f>HYPERLINK("https://www.devnetjobsindia.org/JobDescription.aspx?Job_Id=285914","RFP - Supply, Installation, Testing, Commissioning and Comprehensive Maint...")</f>
        <v/>
      </c>
    </row>
    <row r="21">
      <c r="A21" s="1" t="inlineStr">
        <is>
          <t>DevNetJobsIndia</t>
        </is>
      </c>
      <c r="B21" s="1" t="inlineStr"/>
      <c r="C21" s="1" t="inlineStr">
        <is>
          <t>Proposal Development Associate</t>
        </is>
      </c>
      <c r="D21" s="2" t="inlineStr">
        <is>
          <t>Academy of Management Studies (AMS) | Uttar Pradesh
International Development - Proposal Development Associate, Academy of Management Studies (AMS), Uttar Pradesh - DevNetJobsIndia.org
Jobseekers:
Login
|
Register
Home
Value Membership
Broadcast Resume
RFPs/Tenders
Search Jobs
Events
Jobseekers:
Login
|
Register
Jobseekers Login
Jobseekers Register
Job ID:
285725
Proposal Development Associate
Academy of Management Studies (AMS)
Location:
Lucknow,
Uttar Pradesh
Apply by:
28 Feb 2026
Relevant Sectors
Administration, HR, Management, Accounting/Finance
Always
Looking
for
Great
People…
Position
:
Proposal Development Associate
Department:
Proposal Development
Location
:
Lucknow
AMS
(
www.amsindia.org
)
offers
research-based
consulting
services
to
various
Govt.
Departments
and
International
Agencies
(World
Bank,
Unicef,
UNDP,
WFP,
etc.)
.
Our
major
areas
of
work
include
Rural
Development,
Income
&amp;
Livelihoods,
Handicraft
/
Handloom
Clusters,
Financial
Inclusion,
Public
Health,
Nutrition,
Water
&amp;
Sanitation,
Women
&amp;
Child
Development,
and
Education
.
For
generating
business,
our
organization
responds
to
tenders
floated
by
various
Government
Departments,
International
Agencies,
etc.
Our
Proposal
Development
Unit
prepares
these
responses
(referred
to
as
proposals)
in
consonance
with
the
tender
document
and
requirements
of
the
client.
To
expand
our
Proposal
Development
Unit
,
we
require:
Proposal Development Associate
Lucknow
Job
Responsibility
To
read
the
tender
documents
thoroughly
and
understand
the
tender
requirements
To
participate
in
the
pre-submission
meetings
to
clarify
any
doubts
regarding
the
tender
requirements
To
develop
customized
CVs
of
our
experts
in
consonance
with
the
tender
requirements
To
create
appealing
content
for
our
organization’s
profile
to
highlight
the
relevant
expertise
To
develop
winning
proposals
against
tenders
within
stipulated
timeline
To
carry
out
other
activities
which
involve
English
writing,
delegated
from
time
to
time
Eligibility
PG in any discipline
*Preference to MBA in Marketing
Computer savvy with good command over
Written English
* (both Language &amp; Grammar)
*to be adjudged through an English Writing Test
Freshers are welcome to apply
Remuneration:
Rs.
5.04
lakh
per
annum (net take-home)
Appointment:
This
is
a
full-time
regular
position.
Initially,
the
individuals
will
be
appointed
on
a
probationary
basis
for
a
period
of
1
year.
After
successful
completion
of
the
probation
period,
the
candidate
would
be
absorbed
in
the
regular
cadre
of
the
organization
with
benefits, such
as,
PF,
Health Insurance, Medical
Allowance, Self-
Development
Allowance,
etc.
How
to
Apply
Interested
candidates
may
mail
their
detailed
CV
along
with
a
recent
photograph
by
28th
February
(Saturday),
2026
to
hrd@amsindia.org
clearly
mentioning
“
Proposal Development Associate
”
in
the
subject
line
.
Note:-
Interested
candidates
are
encouraged
to
submit
their
applications
as
early
as
possible,
without
waiting
for
the
deadline,
as
interviews
will be
scheduled on
a
first-come,
first-served basis.
Only
short
-
listed candidates
shall
be
notified
by
us.
Job Email ID:
hrd(at)amsindia.org
View Similar Jobs:
Was this job of interest to you? Subscribe to Value Membership to get access to similar jobs and hundreds of other member-only jobs.
Subscribe
Apply by:
28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1" s="2" t="inlineStr">
        <is>
          <t>• Eligibility
PG in any discipline
*Preference to MBA in Marketing
Computer savvy with good command over
Written English
* (both Language &amp; Grammar)
*to be adjudged through an English Writing Test
• Freshers are welcome to apply
Remuneration:
Rs.
5.04
lakh
per
annum (net take-home)
Appointment:
This
is
a
full-time
regular
position.
Initially,
the
individuals
will
be
appointed
on
a
probationary
basis
for
a
period
of
1
year.
After
successful
completion
of
the
probation
period,
the
candidate
would
be
absorbed
in
the
regular
cadre
of
the
organization
with
benefits, such
as,
PF,
Health Insurance, Medical
Allowance, Self-
Development
Allowance,
etc.
How
to
Apply
Interested
candidates
may
mail
their
detailed
CV
along
with
a
recent
photograph
by
28th
February
(Saturday),
2026
to
hrd@amsindia.org
clearly
mentioning
“
Proposal Development Associate
”
in
the
subject
line
.
Note:-
Interested
candidates
are
encouraged
to
submit
their
applications
as
early
as
possible,
without
waiting
for
the
deadline,
as
interviews
will be
scheduled on
a
first-come,
first-served basis.
Only
short
-
listed candidates
shall
be
notified
by
us.
• Job Email ID:
hrd(at)amsindia.org
View Similar Jobs:
Was this job of interest to you? Subscribe to Value Membership to get access to similar jobs and hundreds of other member-only jobs.
Subscribe
Apply by:
28 Feb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1" s="1" t="inlineStr">
        <is>
          <t>Governance, Learning</t>
        </is>
      </c>
      <c r="G21" s="1" t="inlineStr">
        <is>
          <t>28-02-2026</t>
        </is>
      </c>
      <c r="H21" s="1" t="n">
        <v>12</v>
      </c>
      <c r="I21" s="1">
        <f>HYPERLINK("https://www.devnetjobsindia.org/JobDescription.aspx?Job_Id=285725","Proposal Development Associate")</f>
        <v/>
      </c>
    </row>
    <row r="22">
      <c r="A22" s="1" t="inlineStr">
        <is>
          <t>DevNetJobsIndia</t>
        </is>
      </c>
      <c r="B22" s="1" t="inlineStr"/>
      <c r="C22" s="1" t="inlineStr">
        <is>
          <t>RFP - Evaluation of Centre for Catalyzing Change’s Program at Scale of Co...</t>
        </is>
      </c>
      <c r="D22" s="2" t="inlineStr">
        <is>
          <t>Centre for Catalyzing Change (C3) | India
International Development - RFP - Evaluation of Centre for Catalyzing Change’s Program at Scale of  Completion of Education and Delayed marriage of Adolescents Girls, Centre for Catalyzing Change (C3), India - DevNetJobsIndia.org
Jobseekers:
Login
|
Register
Home
Value Membership
Broadcast Resume
RFPs/Tenders
Search Jobs
Events
Jobseekers:
Login
|
Register
Jobseekers Login
Jobseekers Register
Job ID:
285557
RFP - Evaluation of Centre for Catalyzing Change’s Program at Scale of  Completion of Education and Delayed marriage of Adolescents Girls
Centre for Catalyzing Change (C3)
Location:
India
Apply by:
02 Mar 2026
Relevant Sectors
Administration, HR, Management, Accounting/Finance
Capacity Building, Training, Advocacy
Social, Gender, Education, Youth, Child
REQUEST FOR PROPOSAL
Evaluation of Centre for Catalyzing Change’s Program at Scale of
Completion of Education and Delayed marriage of Adolescents Girls
February 2026
1. Introduction
1.1 Context
As of 2023, India has approximately 24.8 crore students, with girls constituting 48.1% of enrolment. Although the Gender Parity Index exceeds 1 across all schooling levels, girls’ dropout remains a concern at the senior secondary stage, particularly between Grades 9 and 10. Nationally, over 12.6% of girls discontinue education before completing higher secondary schooling.
In Jharkhand, enrolment of adolescent girls declines sharply—by nearly 32%—between Grades 10 and 11 (UDISE 2023-24) Key factors include school-level barriers such as distance, inadequate infrastructure, and poor sanitation, as well as household and community factors including economic hardship, care responsibilities, early marriage, and language barriers faced by tribal girls.
To address these issues, the Government of Jharkhand has instituted measures such as mandatory gender-segregated washrooms, oversight by School Management Committees, and targeted incentives like the Savitribai Phule Kishori Samriddhi Yojana. Effective implementation and monitoring of these provisions are critical to improving girls’ enrolment, retention, and completion of secondary education.
1.2 Centre for Catalyzing Change’s Technical Assistance
The Centre for Catalyzing Change (C3) works to ensure adolescent girls complete secondary education and transition to empowered and economically independent lives. C3 is supporting the governments of Jharkhand to strengthen girls’ secondary education through a system support approach, working with the departments of Education, Women and Child Development, and Social Welfare to address structural barriers.
C3’s technical assistance focuses on three intervention levers: strengthening School
Management Committees by promoting women’s leadership and gender-transformative practices; integrating Vocational Education and Training into secondary schooling to enhance relevance and employability; and improving the targeting, delivery, and monitoring of Conditional Cash Transfers to support girls’ enrolment and retention.
1.3. Key Outcomes
The evaluation will assess changes aligned with C3’s technical assistance pathways and theory of change, spanning individual, institutional, and system levels.
The following outcomes represent the key changes this evaluation will aim to assess. They are aligned with C3’s TA pathways and directly linked to the ToC and learning questions described below. These outcomes span individual, institutional, and system-level change.
Increased school completion
: 20% increase in the number of adolescent girls who complete Class 12.
Improved access to entitlements
: 20% increase in the number of girls availing selected CCT schemes and other related entitlements.
Greater uptake of Vocational Education
: 35% increase in enrollment of adolescent girls in VET programs across secondary and higher secondary schools.
Gender-balanced School Management Committees
30% of SMCs/SMDCs are gender-balanced, with at least 50% women’s representation.
Adoption of Gender-Transformative planning
: 30% of SMCs adopt and implement the GTA in school planning and decision-making.
Systems institutionalization of VET
: VET is formally institutionalized in 50% of secondary and higher secondary education systems
Strengthened government systems for Conditional Cash Transfers:
Systems strengthened for effective targeting, delivery, and monitoring of CCTs and entitlements
General Instructions to Applicants
This section provides the general details to the applicants for preparing the proposal.
a.  Format for Submission of Proposal
Applications may be submitted as individual entities or consortiums. In case of a consortium the leader in the consortium should be identified and mentioned in the proposal.
The technical and financial proposals should be submitted in the format attached in
Annexure 1 and 2
respectively. Submission of proposals in the wrong format or incomplete proposal will result in invalidation of such proposals. Changes to the proposals shall not be permitted once they have been submitted to C3.
b. Proposal Submission Guidelines
The applicant should submit the Technical and Financial Proposal in two separate pdf documents
Each proposal (Technical and Financial) should be saved in a separate pdf file marked as &lt;Agency name&gt;_&lt;proposal type&gt;_C3_Education Initiative Evaluation e.g. the technical proposal of X agency well be will be saved as
X_Technical Proposal_C3_Education initiatives_ Evaluation.pdf
All the proposals to be zipped together in one folder named &lt;Agency name&gt;_C3_Education initiative Evaluation should be emailed to
procument@c3india.org
on or before the proposal submission time
The email containing the proposal should quote &lt;Agency name&gt;_Proposal_C3_Education initiative Evaluation in the subject line
For detailed information, please check the complete version of the RFP attached below.
Download Attachment:
RFP for education initiatives_C3.pdf
View Similar Jobs:
Was this job of interest to you? Subscribe to Value Membership to get access to similar jobs and hundreds of other member-only jobs.
Subscribe
Apply by:
02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2" s="2" t="inlineStr">
        <is>
          <t>• b. Proposal Submission Guidelines
The applicant should submit the Technical and Financial Proposal in two separate pdf documents
Each proposal (Technical and Financial) should be saved in a separate pdf file marked as &lt;Agency name&gt;_&lt;proposal type&gt;_C3_Education Initiative Evaluation e.g. the technical proposal of X agency well be will be saved as
X_Technical Proposal_C3_Education initiatives_ Evaluation.pdf
All the proposals to be zipped together in one folder named &lt;Agency name&gt;_C3_Education initiative Evaluation should be emailed to
procument@c3india.org
on or before the proposal submission time
The email containing the proposal should quote &lt;Agency name&gt;_Proposal_C3_Education initiative Evaluation in the subject line
For detailed information, please check the complete version of the RFP attached below.
Download Attachment:
RFP for education initiatives_C3.pdf
View Similar Jobs:
Was this job of interest to you? Subscribe to Value Membership to get access to similar jobs and hundreds of other member-only jobs.
Subscribe
Apply by:
02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2" s="1" t="inlineStr">
        <is>
          <t>Governance</t>
        </is>
      </c>
      <c r="G22" s="1" t="inlineStr">
        <is>
          <t>02-03-2026</t>
        </is>
      </c>
      <c r="H22" s="1" t="n">
        <v>14</v>
      </c>
      <c r="I22" s="1">
        <f>HYPERLINK("https://www.devnetjobsindia.org/JobDescription.aspx?Job_Id=285557","RFP - Evaluation of Centre for Catalyzing Change’s Program at Scale of Co...")</f>
        <v/>
      </c>
    </row>
    <row r="23">
      <c r="A23" s="1" t="inlineStr">
        <is>
          <t>DevNetJobsIndia</t>
        </is>
      </c>
      <c r="B23" s="1" t="inlineStr"/>
      <c r="C23" s="1" t="inlineStr">
        <is>
          <t>EoI - For Empanelment of agencies for Impact Assessment/ Evaluation Servic...</t>
        </is>
      </c>
      <c r="D23" s="2" t="inlineStr">
        <is>
          <t>Small Industries Development Bank of India (SIDBI) | India
International Development - EoI - For Empanelment of agencies for Impact Assessment/ Evaluation Services under Programmes for Development and Impact, Small Industries Development Bank of India (SIDBI), India - DevNetJobsIndia.org
Jobseekers:
Login
|
Register
Home
Value Membership
Broadcast Resume
RFPs/Tenders
Search Jobs
Events
Jobseekers:
Login
|
Register
Jobseekers Login
Jobseekers Register
Job ID:
287084
EoI - For Empanelment of agencies for Impact Assessment/ Evaluation Services under Programmes for Development and Impact
Small Industries Development Bank of India (SIDBI)
Location:
India
Apply by:
06 Mar 2026
Relevant Sectors
Monitoring, Evaluation, Policy, Research
Small Industries Development Bank of India
Expressions of Interest (EoI) For Empanelment of agencies for Impact
Assessment/ Evaluation Services under Programmes for Development and Impact
Tender No
SIDBI/REOI/68279
Tender Issue date
13/02/2026
Pre EoI meeting with Agencies (date and Time)
25/02/2026
Last date for submission of EoI
06/03/2026
Issued By
Small Industries Development Bank of India
Programmes for Development and Impact Vertical
SIDBI Tower, 15 Ashok Marg,
Lucknow 226001
Website
http://www.sidbi.in/
THE INFORMATION PROVIDED BY THE RESPONDENTS IN RESPONSE TO THIS TENDER DOCUMENT WILL BECOME THE PROPERTY OF SIDBI AND WILL NOT BE RETURNED. SIDBI RESERVES THE RIGHT TO AMEND, RESCIND OR REISSUE THIS TENDER DOCUMENT AND ALL AMENDMENTS WILL BE ADVISED TO THE RESPONDENTS AND SUCH AMENDMENTS WILL BE BINDING ON THEM.
(THIS DOCUMENT SHOULD NOT BE REUSED OR COPIED OR USED EITHER PARTIALLY OR FULLY IN ANY FORM)
Important Instructions
SIDBI      reserves the sole right for carrying out any amendments/ modifications /      changes including any addendum to this EoI. Such amendments /      modifications / changes including any addendum to this EoI shall be      notified on SIDBI’s website
https://www.sidbi.in/en/tenders/
https://eprocure.gov.in/epublish/app
and      these will be binding on the Respondents.
Respondents      are advised to study the tender document carefully. Submission of      responses shall be deemed to have been done after careful study and      examination of the EoI document with full understanding of its      implications.
Clarifications      to any queries from the Respondent or any change in requirement will be      posted
on
https://www.sidbi.in/en/tenders/
https://eprocure.gov.in/epublish/app
.
Hence, before      submitting responses, the Respondent must verify that such clarifications      / changes have been considered by them. SIDBI will not have any      responsibility in case of any omission by any Respondent.
In      case of any clarification(s) is/are required by SIDBI to assist in the      examination, evaluation and comparison of responses, SIDBI may, at its      discretion, ask the Respondent for such clarification(s). The response(s)      / clarification(s) shall be in writing and no material change in substance      of the responses shall be sought, offered or permitted.
Please      note that all the information required as per the documents required for      responding to EOI needs to be provided. Incomplete information in these      areas may lead to non-selection.
Modification      And/ Or Withdrawal of documents:
Documents once submitted will      be treated as final and no further correspondence will be entertained. No      document shall be modified after the deadline for submission of documents      in response to the EOI. Also, no Respondent shall be allowed to withdraw      any document, if the Respondent happens to be a successful      Respondent.
SIDBI      has the right to reject any or all documents received without assigning      any reason whatsoever.
NOTE:
SIDBI SHALL NOT BE RESPONSIBLE FOR NON-RECEIPT / NON-DELIVERY OF THE DOCUMENTS DUE TO ANY REASON, WHATSOEVER.
Critical Information
Events
Particular / Date and Time
Tender No
SIDBI/REOI/68279
Tender Issue Date
13/02/2026
Last date for seeking Clarification on EOI document
20/02/2026
All queries relating to the EoI must be in writing only   and to be sent via
email on.
pdi@sidbi.in
and
mayankp@sidbi.in
Pre EOI meeting
25/02/2026
The meeting shall be virtual / online over MS Teams Call.   Meeting Link will be shared separately to all the bidder
Last date for submission of EoI
06/03/2026
Bids to submitted through email only at:
pdi@sidbi.in
and
mayankp@sidbi.in
Independent External Monitor
Shri Sanjay Kumar Srivastava, IAS (Retd.),
Apartment T-6 B,
Windsor Court, DLF Phase-IV
Gurgaon-122009
Mobile No-9910059472
E-mail:
sksrivastava7854@rediffmail.com
Dr. Parvez Hayat, IPS (Retd.),
B-4/69- A, Safdarjung Enclave
New Delhi-110029
Mobile-9810134469
E-Mail:
phayatips@gmail.com
Contact details of SIDBI officials
Shri Mohammed Adil Ahsan
Asst. General Manager,
Programmes for Development &amp; Impact [PDI]
SIDBI Tower, 15, Ashok Marg, Lucknow – 226001
Ph: 0522-4261631
Email:
mdadil@sidbi.in
Shri Mayank Prakash
Theme Leader – Monitoring &amp; Evaluation
Programmes for Development &amp; Impact [PDI]
SIDBI Tower, 15, Ashok Marg, Lucknow – 226001
Ph: 0522 - 4259 626
Email
mayankp@sidbi.in
For detailed information, please check the complete version of the EoI attached below.
Download Attachment:
EOI for empanelment of Imapact assesment agencies_1202026.pdf
View Similar Jobs:
Was this job of interest to you? Subscribe to Value Membership to get access to similar jobs and hundreds of other member-only jobs.
Subscribe
Apply by:
06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3" s="2" t="inlineStr">
        <is>
          <t>• Please      note that all the information required as per the documents required for      responding to EOI needs to be provided. Incomplete information in these      areas may lead to non-selection.
Modification      And/ Or Withdrawal of documents:
Documents once submitted will      be treated as final and no further correspondence will be entertained. No      document shall be modified after the deadline for submission of documents      in response to the EOI. Also, no Respondent shall be allowed to withdraw      any document, if the Respondent happens to be a successful      Respondent.
SIDBI      has the right to reject any or all documents received without assigning      any reason whatsoever.
NOTE:
SIDBI SHALL NOT BE RESPONSIBLE FOR NON-RECEIPT / NON-DELIVERY OF THE DOCUMENTS DUE TO ANY REASON, WHATSOEVER.
Critical Information
Events
Particular / Date and Time
Tender No
SIDBI/REOI/68279
Tender Issue Date
13/02/2026
Last date for seeking Clarification on EOI document
20/02/2026
All queries relating to the EoI must be in writing only   and to be sent via
email on.
pdi@sidbi.in
and
mayankp@sidbi.in
Pre EOI meeting
25/02/2026
The meeting shall be virtual / online over MS Teams Call.   Meeting Link will be shared separately to all the bidder
Last date for submission of EoI
06/03/2026
Bids to submitted through email only at:
pdi@sidbi.in
and
mayankp@sidbi.in
Independent External Monitor
Shri Sanjay Kumar Srivastava, IAS (Retd.),
Apartment T-6 B,
Windsor Court, DLF Phase-IV
Gurgaon-122009
Mobile No-9910059472
E-mail:
sksrivastava7854@rediffmail.com
Dr. Parvez Hayat, IPS (Retd.),
B-4/69- A, Safdarjung Enclave
New Delhi-110029
Mobile-9810134469
E-Mail:
phayatips@gmail.com
• Contact details of SIDBI officials
Shri Mohammed Adil Ahsan
Asst. General Manager,
Programmes for Development &amp; Impact [PDI]
SIDBI Tower, 15, Ashok Marg, Lucknow – 226001
Ph: 0522-4261631
Email:
mdadil@sidbi.in
Shri Mayank Prakash
Theme Leader – Monitoring &amp; Evaluation
Programmes for Development &amp; Impact [PDI]
SIDBI Tower, 15, Ashok Marg, Lucknow – 226001
Ph: 0522 - 4259 626
Email
mayankp@sidbi.in
For detailed information, please check the complete version of the EoI attached below.
Download Attachment:
EOI for empanelment of Imapact assesment agencies_1202026.pdf
View Similar Jobs:
Was this job of interest to you? Subscribe to Value Membership to get access to similar jobs and hundreds of other member-only jobs.
Subscribe
Apply by:
06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3" s="1" t="inlineStr">
        <is>
          <t>Governance, Learning</t>
        </is>
      </c>
      <c r="G23" s="1" t="inlineStr">
        <is>
          <t>06-03-2026</t>
        </is>
      </c>
      <c r="H23" s="1" t="n">
        <v>18</v>
      </c>
      <c r="I23" s="1">
        <f>HYPERLINK("https://www.devnetjobsindia.org/JobDescription.aspx?Job_Id=287084","EoI - For Empanelment of agencies for Impact Assessment/ Evaluation Servic...")</f>
        <v/>
      </c>
    </row>
    <row r="24">
      <c r="A24" s="1" t="inlineStr">
        <is>
          <t>DevNetJobsIndia</t>
        </is>
      </c>
      <c r="B24" s="1" t="inlineStr"/>
      <c r="C24" s="1" t="inlineStr">
        <is>
          <t>Associate (Programme Management)</t>
        </is>
      </c>
      <c r="D24" s="2" t="inlineStr">
        <is>
          <t>Indian Institute For Human Settlements (Iihs) | Karnataka
International Development - Associate (Programme Management), Indian Institute For Human Settlements (Iihs), Karnataka - DevNetJobsIndia.org
Jobseekers:
Login
|
Register
Home
Value Membership
Broadcast Resume
RFPs/Tenders
Search Jobs
Events
Jobseekers:
Login
|
Register
Jobseekers Login
Jobseekers Register
Job ID:
285747
Associate (Programme Management)
Indian Institute For Human Settlements (Iihs)
Location:
Bengaluru,
Karnataka
Apply by:
07 Mar 2026
Relevant Sectors
Infrastructure, Technology, Engineering, Science
Monitoring, Evaluation, Policy, Research
JOB DESCRIPTION
Associate (Programme Management) – ASSURE (Accelerating Sustainable and Super-Efficient Real Estate)
About Us
The Indian Institute for Human Settlements (IIHS) is an interdisciplinary knowledge institution and distinct university, committed to the equitable, sustainable and efficient transformation of Indian settlements. It conducts an integrated programme of quality campus-based teaching and research, applied research/ practice-based work to deliver large-scale impact, training and lifelong learning for working professionals as well as blended learning. IIHS brings together theory and praxis around India-centric knowledge and applied research, while engaging with and drawing from knowledge across the globe
For more information, please see
http://www.iihs.co.in
About the ASSURE (Accelerating Sustainable and Super-Efficient Real Estate) project
ASSURE is a joint initiative of the Indian Institute for Human Settlements, India’s premier knowledge institution working on urban transformation, and global next-generational digital services and consulting major and sustainability leader Infosys. ASSURE aims to transform India’s large, rapidly growing, and carbon and energy intensive real estate sector by promoting High Performance Buildings (HPBs) at scale.
In pursuit of its goal, ASSURE will, in the coming years, offer technical assistance to India’s largest developers for lighthouse projects spanning 100 million sq. ft., skill/ upskill 12,000 individuals, support 30 curated innovators, deliver a performance measurement and verification platform that incentivises HPB adoption and financing, and engage with policymakers and financial decisionmakers to usher enabling policies and financing arrangements for HPBs. In lighthouse projects, ASSURE works closely with developer teams to set realistic performance goals, guide technology and design choices, assist with implementation and O&amp;M, and navigate financial and procurement pathways—ensuring successful delivery and operation of HPBs.
Job Description
We are seeking a dynamic programme management professional who will play a critical role in supporting the design, coordination, and execution of ASSURE’s multi-stakeholder initiatives. The role will manage programme operations, facilitate partnerships, and ensure effective delivery of outcomes aligned with ASSURE’s mission of decarbonising India’s real estate sector.
This could be either a regular position or a 11- month contractual engagement, renewable on mutual consent, with the potential to turn into a regular position over time.
Activities and Tasks
Responsibilities would include, but are not limited to, the following:
Programme coordination:
Supporting the planning, monitoring, and reporting of ASSURE’s activities across technical assistance, training, and policy engagement;
Stakeholder engagement:
Liaising with government agencies, industry partners, and civil society organisations to strengthen collaborations;
Knowledge management:
Assisting in developing knowledge products, publications, and training materials for dissemination through ASSURE’s Knowledge Hub;
Operational support:
Managing timelines, and documentation to ensure smooth programme execution;
Data and impact tracking:
Contributing to monitoring and evaluating frameworks to measure programme impact (energy savings, GHG reductions, jobs created);
Events:
Coordinating workshops, training sessions, and conferences of stakeholders and to build capacity in high performance building design and implementation;
Institutional: P
roviding support to other IIHS activities including academics, research, training, practice, operations and others;
Participating in all activities of institution-building at IIHS; carrying out tasks as assigned by IIHS; and travelling on IIHS work within or outside the country as and when needed.
Structure and Reporting
The building simulation expert will be an External Consultant coordinating with the the Project Director – ASSURE at IIHS and will be required to collaborate effectively with a diverse group of internal teams and external individuals/ organisations.
Person Specification
The ideal candidate should have:
A Master’s degree in Urban Planning, Architecture, Environmental Studies, Public Policy, or Management or equivalent;
3-5 years of relevant experience in programme management, sustainability, or stakeholder engagement;
Strong organisational and project management skills with attention to detail;
Excellent communication skills (written and verbal) and the ability to work with diverse stakeholders;
Familiarity with climate change, energy efficiency, or sustainable real estate will be an advantage;
Proficiency in MS Office and project management tools.
What We Offer
Opportunity to contribute to a transformative national initiative in sustainable real estate;
Exposure to cutting-edge practices in high performance buildings and climate resilience;
Collaborative work environment with experts across disciplines;
Professional growth through training, workshops, and knowledge sharing.
This could be either a regular position or a 11- month contractual engagement, renewable on mutual consent, with the potential to turn into a regular position over time. This offer is on an exclusive basis, which implies that other professional assignments (whether compensated or not) that bear a potential conflict of interest with IIHS cannot be undertaken.
The search will remain open until the position is filled.
Location
This position is based in Bengaluru, and may entail travel to other locations in India.
Review and Assessment
The role and performance of the incumbent shall be subject to normal review and assessment systems at IIHS.
Diversity Policy
IIHS is an equal opportunity employer that encourages women, people with disabilities and those from economically and socially excluded communities with the requisite skills and qualifications to apply for positions.
To apply
If you are interested in exploring this opportunity with us, please fill the online
application form
by clicking here. (You can also click on the “
Apply Now
” button at the end of the Job Description displayed on the website).
Contact
Please write to us at
hr@iihs.co.in
if you need any clarifications while filling the online application form.
Job Email ID:
hr(at)iihs.co.in
Download Attachment:
Associate-Programme-Management-–-ASSURE-Lighthouse-Projects.pdf
View Similar Jobs:
Was this job of interest to you? Subscribe to Value Membership to get access to similar jobs and hundreds of other member-only jobs.
Subscribe
Apply by:
07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4" s="2" t="inlineStr">
        <is>
          <t>• IIHS is an equal opportunity employer that encourages women, people with disabilities and those from economically and socially excluded communities with the requisite skills and qualifications to apply for positions.
• To apply
If you are interested in exploring this opportunity with us, please fill the online
application form
by clicking here. (You can also click on the “
Apply Now
” button at the end of the Job Description displayed on the website).
Contact
Please write to us at
hr@iihs.co.in
if you need any clarifications while filling the online application form.
• Job Email ID:
hr(at)iihs.co.in
Download Attachment:
Associate-Programme-Management-–-ASSURE-Lighthouse-Projects.pdf
View Similar Jobs:
Was this job of interest to you? Subscribe to Value Membership to get access to similar jobs and hundreds of other member-only jobs.
Subscribe
Apply by:
07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4" s="1" t="inlineStr">
        <is>
          <t>Governance</t>
        </is>
      </c>
      <c r="G24" s="1" t="inlineStr">
        <is>
          <t>07-03-2026</t>
        </is>
      </c>
      <c r="H24" s="1" t="n">
        <v>19</v>
      </c>
      <c r="I24" s="1">
        <f>HYPERLINK("https://www.devnetjobsindia.org/JobDescription.aspx?Job_Id=285747","Associate (Programme Management)")</f>
        <v/>
      </c>
    </row>
    <row r="25">
      <c r="A25" s="1" t="inlineStr">
        <is>
          <t>DevNetJobsIndia</t>
        </is>
      </c>
      <c r="B25" s="1" t="inlineStr"/>
      <c r="C25" s="1" t="inlineStr">
        <is>
          <t>RFP - Early-Stage Impact Assessment-CDRI SWP 23-26</t>
        </is>
      </c>
      <c r="D25" s="2" t="inlineStr">
        <is>
          <t>Coalition for Disaster Resilient Infrastructure (CDRI) | India
International Development - RFP - Early-Stage Impact Assessment-CDRI SWP 23-26, Coalition for Disaster Resilient Infrastructure (CDRI), India - DevNetJobsIndia.org
Jobseekers:
Login
|
Register
Home
Value Membership
Broadcast Resume
RFPs/Tenders
Search Jobs
Events
Jobseekers:
Login
|
Register
Jobseekers Login
Jobseekers Register
Job ID:
287093
RFP - Early-Stage Impact Assessment-CDRI SWP 23-26
Coalition for Disaster Resilient Infrastructure (CDRI)
Location:
India
Apply by:
09 Mar 2026
Relevant Sectors
Administration, HR, Management, Accounting/Finance
Disaster, Aid, Emergencies, Relief
Infrastructure, Technology, Engineering, Science
Date: 12
February 2026
(Technical Proposal - Open PDF file)
(Financial Proposal -
Password-Protected
PDF file
)
Request for Proposal
[1]
Hiring of an External International Agency to undertake Early-Stage Impact Assessment of CDRI’s Strategic Work Plan (SWP) 2023-26
1.
Background
The Coalition for Disaster Resilient Infrastructure (CDRI)
, an International Organization, recognized
vide
Gazette Notification F. No. D-II/451/16(3)/2021 by the Government of India, is a multi-stakeholder global partnership of national governments, UN agencies and programmes, multilateral development banks and financing mechanisms, the private sector, and academic and knowledge institutions that aims to promote the resilience of new and existing infrastructure systems to climate and disaster risks in support of sustainable development. The vision, mission, goal, and objectives of CDRI are explicitly linked to the post-2015 development agendas. CDRI promotes its Disaster Resilient Infrastructure (DRI) mandate through knowledge exchange and bolstering technical capacities among member countries and partners through the following key Strategic Priorities:
Advocacy and Partnerships
Research, Knowledge Management, and Capacity Building
Program Support and Technical Assistance
2.
CDRI Charter
CDRI seeks to expand the development and retrofitting of resilient infrastructure systems to support sustainable development, universal access to basic services, and economic growth, while responding to increasing climate and disaster risks. Its mission is to support countries in upgrading existing and future infrastructure systems, in full alignment with the Sustainable Development Goals, the Paris Agreement and the Sendai Framework for Disaster Risk Reduction.
The governance of the Coalition comprises the Governing Council, the Executive Committee, and the Secretariat. The Governing Council is the highest policy-making body and comprises all members of the Coalition, including national governments, multilateral organizations, and other stakeholders. The Governing Council shall be co-chaired by representatives of two national governments, with India being the permanent co-chair of the Governing Council.
The Executive Committee serves as the managerial body responsible for overseeing implementation of the Governing Council’s decisions, providing operational guidance to the Secretariat, approving major projects and grants, supervising work planning, and commissioning audits and outcome evaluations. The Secretariat implements the work programme, supports the governance bodies, and delivers CDRI’s technical assistance, research, advocacy, and partnership functions in accordance with the Charter.
CDRI pursues its mission through three core programmes.
Technical Support and Capacity Development
anchors multi-country project development, institutional innovation, and capacity enhancement, including the development of standards, certification mechanisms, and the deployment of technical expertise to strengthen risk governance and financing of resilient infrastructure.
Research and Knowledge Management
promotes collaborative research, global publications, and shared data systems to enable improved practices in resilient infrastructure development.
Advocacy and Partnerships
strengthen networks among knowledge and implementation partners, ensure dissemination of CDRI outputs, promote alignment with other global initiatives, and convene strategic dialogues and workshops.
3.
Strategic Work Plan 2023-26 (SWP)
Following the completion of the CDRI’s Work Plan 2020-2022, CDRI conducted a thorough multi-stakeholder review to gather lessons from the implementation of the previous work plan and to shape a vision in response to emerging issues related to infrastructure resilience. The SWP 2023-2026 was approved in March 2023.
CDRI’s Strategic Work Plan 2023-26 describes the broad contours of its priority actions and planned initiatives in the coming years. Initiatives include work across Transport, Telecom, Power, Health, and Urban Development, whilst ensuring technical standards and capacity development. In the next two years, the Coalition will continue to leverage the expertise of its Member Countries and partners to develop context-specific, innovative solutions for resilient infrastructure towards the achievement of national priorities and global commitments of its members.
Within the Strategic Work Plan for 2023 – 2026, CDRI has set out three strategic outcomes:
Strategic Outcome 1:
A strong Coalition that has the membership, resources, and global leadership to drive global, national, regional, and local DRI action.
Strategic Outcome 2:
Global DRI research, Coalition-led peer engagement, and CDRI-curated and generated knowledge promote risk-informed policy and practice.
Strategic Outcome 3:
Enhanced capacities of government, private enterprises, and communities to implement post-disaster recovery and DRI action at scale.
Additionally, the SWP also provides a framework for the Coalition members and partners to collaborate, cooperate, and advocate for meeting global goals and targets related to DRI.
It also illustrates how the Coalition's interventions align to produce results or outcomes that support the achievement of the intended impact.
The agencies are requested to submit their proposal through email to
tender.projects@cdri.world
by 23:59 hrs (IST) on 09 March 2026.
Responses received after the stipulated time or not in accordance will be summarily rejected.
Please ensure that your proposal is sent ONLY to the ABOVE-MENTIONED email ID before the closing date &amp; time. Proposals sent/copied to any other email ID (other than above) OR received after the bid closing date &amp; time (mentioned above) will not be entertained.
For detailed information, please check the complete version of the RFP attached below.
[1]
RFP updated on 13 February 2026 (non-material revisions)
Download Attachment:
RFP-Early Stage Impact Assessment-CDRI SWP 23-26.pdf
View Similar Jobs:
Was this job of interest to you? Subscribe to Value Membership to get access to similar jobs and hundreds of other member-only jobs.
Subscribe
Apply by:
09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5" s="2" t="inlineStr">
        <is>
          <t>N/A</t>
        </is>
      </c>
      <c r="F25" s="1" t="inlineStr">
        <is>
          <t>Climate, Governance</t>
        </is>
      </c>
      <c r="G25" s="1" t="inlineStr">
        <is>
          <t>09-03-2026</t>
        </is>
      </c>
      <c r="H25" s="1" t="n">
        <v>21</v>
      </c>
      <c r="I25" s="1">
        <f>HYPERLINK("https://www.devnetjobsindia.org/JobDescription.aspx?Job_Id=287093","RFP - Early-Stage Impact Assessment-CDRI SWP 23-26")</f>
        <v/>
      </c>
    </row>
    <row r="26">
      <c r="A26" s="1" t="inlineStr">
        <is>
          <t>DevNetJobsIndia</t>
        </is>
      </c>
      <c r="B26" s="1" t="inlineStr"/>
      <c r="C26" s="1" t="inlineStr">
        <is>
          <t>RFP For Selection of an Implementation Support Agency (Isa) For Capacity B...</t>
        </is>
      </c>
      <c r="D26" s="2" t="inlineStr">
        <is>
          <t>EAII Advisors Pvt Ltd | Andhra Pradesh
International Development - RFP For Selection of an Implementation Support Agency (Isa) For Capacity Building Of Community Leaders To Conduct Community Engagement Activities, EAII Advisors Pvt Ltd, Andhra Pradesh - DevNetJobsIndia.org
Jobseekers:
Login
|
Register
Home
Value Membership
Broadcast Resume
RFPs/Tenders
Search Jobs
Events
Jobseekers:
Login
|
Register
Jobseekers Login
Jobseekers Register
Job ID:
285950
RFP For Selection of an Implementation Support Agency (Isa) For Capacity Building Of Community Leaders To Conduct Community Engagement Activities
EAII Advisors Pvt Ltd
Location:
Andhra Pradesh
Apply by:
09 Mar 2026
Relevant Sectors
Capacity Building, Training, Advocacy
Environment, Climate, Energy, Water, Sanitation
Health, Doctors, Nurses, HIV/AIDS, Nutrition
RFP - Standalone ISA RFP is now live on
Google Drive link
EAII Advisors Pvt Ltd
Location
: Andhra Pradesh, India
Apply by
: 9th March 2026
ATTACHMENT
: Response Template for Technical Proposal
INVITATION TO THE RFP FOR SELECTION OF AN IMPLEMENTATION SUPPORT AGENCY (ISA) FOR CAPACITY BUILDING OF COMMUNITY LEADERS TO CONDUCT COMMUNITY ENGAGEMENT ACTIVITIES TO SUPPORT ADOPTION OF IN-LINE CHLORINATION (ILC) DEVICES FOR SAFE DRINKING WATER TO RURAL HOUSEHOLDS IN ANDHRA PRADESH
RFP Ref. No
. EAII/ISW/2026/ISA-001
Purpose
This Response Template has been designed to ensure a standardized and transparent evaluation process for all bidders. By providing your responses in this structured format, you enable our evaluation committee to assess all proposals fairly and consistently against the defined technical and financial criteria. Complete and accurate responses to all questions will help us understand your capabilities, experience, and proposed solution, ultimately allowing us to identify the most suitable partner for this critical public health initiative. Your thorough completion of this template is essential for your proposal to be properly evaluated. A few points for your consideration:
The tender process will be conducted to ensure that tenders are evaluated fairly to ascertain the most economically advantageous tender (MEAT) criteria.
Your response will be evaluated under the following headings, based on a weighting of 70% for technical evaluation and 30% for financial evaluation.
Responses to all questions are mandatory unless otherwise stated in the RFP documents. Kindly input “NA” in case the question is not applicable to you. DO NOT LEAVE IT BLANK.
TECHNICAL PROPOSAL – RESPONSE TEMPLATE
Proposal Requirements
1. Company Background and Details
A. Company Profile
Overview of the firm or firms submitting the bid, including a brief history, information about organizational structure, relevant company financials, location of offices, number of employees, relevant certifications, or any other information that could be pertinent.
Supplier Response:
Kindly fill in the column “Bidder Response”. The current inputs are guiding inputs or choices for answers. Kindly fill in accordingly.
For detailed information, please check the complete version of the RFP attached below.
Download Attachment:
Standalone ISA RFP Technical Evaluation Response Template (1).docx
Download Attachment:
Telugu_Standalone ISA RFP Technical Evaluation Response Template.docx
View Similar Jobs:
Was this job of interest to you? Subscribe to Value Membership to get access to similar jobs and hundreds of other member-only jobs.
Subscribe
Apply by:
09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6" s="2" t="inlineStr">
        <is>
          <t>• Proposal Requirements
1. Company Background and Details
A. Company Profile
Overview of the firm or firms submitting the bid, including a brief history, information about organizational structure, relevant company financials, location of offices, number of employees, relevant certifications, or any other information that could be pertinent.
Supplier Response:
Kindly fill in the column “Bidder Response”. The current inputs are guiding inputs or choices for answers. Kindly fill in accordingly.
For detailed information, please check the complete version of the RFP attached below.
Download Attachment:
Standalone ISA RFP Technical Evaluation Response Template (1).docx
Download Attachment:
Telugu_Standalone ISA RFP Technical Evaluation Response Template.docx
View Similar Jobs:
Was this job of interest to you? Subscribe to Value Membership to get access to similar jobs and hundreds of other member-only jobs.
Subscribe
Apply by:
09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6" s="1" t="inlineStr">
        <is>
          <t>Governance, Learning</t>
        </is>
      </c>
      <c r="G26" s="1" t="inlineStr">
        <is>
          <t>09-03-2026</t>
        </is>
      </c>
      <c r="H26" s="1" t="n">
        <v>21</v>
      </c>
      <c r="I26" s="1">
        <f>HYPERLINK("https://www.devnetjobsindia.org/JobDescription.aspx?Job_Id=285950","RFP For Selection of an Implementation Support Agency (Isa) For Capacity B...")</f>
        <v/>
      </c>
    </row>
    <row r="27">
      <c r="A27" s="1" t="inlineStr">
        <is>
          <t>DevNetJobsIndia</t>
        </is>
      </c>
      <c r="B27" s="1" t="inlineStr"/>
      <c r="C27" s="1" t="inlineStr">
        <is>
          <t>RFP For The Contractors To Procure, Build, Install, Supply Chlorine Tablet...</t>
        </is>
      </c>
      <c r="D27" s="2" t="inlineStr">
        <is>
          <t>EAII Advisors Pvt Ltd | Andhra Pradesh
International Development - RFP For The Contractors To Procure, Build, Install, Supply Chlorine Tablets, Operate And Maintain Tablet-Based In Line Chlorination Devices, EAII Advisors Pvt Ltd, Andhra Pradesh - DevNetJobsIndia.org
Jobseekers:
Login
|
Register
Home
Value Membership
Broadcast Resume
RFPs/Tenders
Search Jobs
Events
Jobseekers:
Login
|
Register
Jobseekers Login
Jobseekers Register
Job ID:
285949
RFP For The Contractors To Procure, Build, Install, Supply Chlorine Tablets, Operate And Maintain Tablet-Based In Line Chlorination Devices
EAII Advisors Pvt Ltd
Location:
Andhra Pradesh
Apply by:
09 Mar 2026
Relevant Sectors
Administration, HR, Management, Accounting/Finance
Health, Doctors, Nurses, HIV/AIDS, Nutrition
RFP - Standalone IC
RFP
is now live on
Google Drive link
EAII Advisors Pvt Ltd
Location
: Andhra Pradesh, India
Apply by
: 9th March 2026
ATTACHMENT
: Response Template for Technical Proposal
INVITATION TO THE RFP FOR THE CONTRACTORS TO PROCURE, BUILD, INSTALL, SUPPLY CHLORINE TABLETS, OPERATE AND MAINTAIN TABLET-BASED IN LINE CHLORINATION DEVICES (the ‘’Devices’’) IN ANDHRA PRADESH
Purpose
This Response Template has been designed to ensure a standardized and transparent evaluation process for all bidders. By providing your responses in this structured format, you enable our evaluation committee to assess all proposals fairly and consistently against the defined technical and financial criteria. Complete and accurate responses to all questions will help us understand your capabilities, experience, and proposed solution, ultimately allowing us to identify the most suitable partner for this critical public health initiative. Your thorough completion of this template is essential for your proposal to be properly evaluated. A few points for your consideration:
The tender process will be conducted to ensure that tenders are evaluated fairly to ascertain the most economically advantageous tender (MEAT) criteria.
Your response will be evaluated under the following headings, based on a weighting of 70% for technical evaluation and 30% for financial evaluation.
Responses to all questions are mandatory unless otherwise stated in the RFP documents. Kindly input “NA” in case the question is not applicable to you. DO NOT LEAVE IT BLANK.
TECHNICAL PROPOSAL – RESPONSE TEMPLATE
Proposal Requirements
1. Company Background and Details
A. Company Profile
Overview of the firm or firms submitting the bid, including a brief history, information about organizational structure, relevant company financials, location of offices, number of employees, relevant certifications, or any other information that could be pertinent.
Supplier Response:
Kindly fill in the column “Bidder Response”. The current inputs are guiding inputs or choices for answers. Kindly fill in accordingly.
For detailed information, please check the complete version of the RFP attached below.
Download Attachment:
Standalone IC RFP Technical Evaluation Response Template.docx
Download Attachment:
Telugu_Standalone IC RFP Technical Evaluation Response Template.docx
View Similar Jobs:
Was this job of interest to you? Subscribe to Value Membership to get access to similar jobs and hundreds of other member-only jobs.
Subscribe
Apply by:
09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7" s="2" t="inlineStr">
        <is>
          <t>• Proposal Requirements
1. Company Background and Details
A. Company Profile
Overview of the firm or firms submitting the bid, including a brief history, information about organizational structure, relevant company financials, location of offices, number of employees, relevant certifications, or any other information that could be pertinent.
Supplier Response:
Kindly fill in the column “Bidder Response”. The current inputs are guiding inputs or choices for answers. Kindly fill in accordingly.
For detailed information, please check the complete version of the RFP attached below.
Download Attachment:
Standalone IC RFP Technical Evaluation Response Template.docx
Download Attachment:
Telugu_Standalone IC RFP Technical Evaluation Response Template.docx
View Similar Jobs:
Was this job of interest to you? Subscribe to Value Membership to get access to similar jobs and hundreds of other member-only jobs.
Subscribe
Apply by:
09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7" s="1" t="inlineStr">
        <is>
          <t>Learning</t>
        </is>
      </c>
      <c r="G27" s="1" t="inlineStr">
        <is>
          <t>09-03-2026</t>
        </is>
      </c>
      <c r="H27" s="1" t="n">
        <v>21</v>
      </c>
      <c r="I27" s="1">
        <f>HYPERLINK("https://www.devnetjobsindia.org/JobDescription.aspx?Job_Id=285949","RFP For The Contractors To Procure, Build, Install, Supply Chlorine Tablet...")</f>
        <v/>
      </c>
    </row>
    <row r="28">
      <c r="A28" s="1" t="inlineStr">
        <is>
          <t>DevNetJobsIndia</t>
        </is>
      </c>
      <c r="B28" s="1" t="inlineStr"/>
      <c r="C28" s="1" t="inlineStr">
        <is>
          <t>Specialist – Financial Management and Compliance</t>
        </is>
      </c>
      <c r="D28" s="2" t="inlineStr">
        <is>
          <t>Financial Management Service Foundation (FMSF) | Uttar Pradesh
International Development - Specialist – Financial Management and Compliance, Financial Management Service Foundation (FMSF), Uttar Pradesh - DevNetJobsIndia.org
Jobseekers:
Login
|
Register
Home
Value Membership
Broadcast Resume
RFPs/Tenders
Search Jobs
Events
Jobseekers:
Login
|
Register
Jobseekers Login
Jobseekers Register
Job ID:
287015
Specialist – Financial Management and Compliance
Financial Management Service Foundation (FMSF)
Location:
Noida,
Uttar Pradesh
Apply by:
13 Mar 2026
Relevant Sectors
Administration, HR, Management, Accounting/Finance
Government/Governance, Reforms, Corruption
Job Title:
Specialist – Financial Management and Compliance
Reports to:
Lead - Grants and Strategic Initiative
Nature:
Fixed Term Contract
No of Vacancy: 1
About the Organization
Founded in 1994, the Financial Management Service Foundation (FMSF) is a pioneering development organization committed to promoting financial accountability within the voluntary sector. Since its inception, FMSF has been dedicating its efforts to enhancing the capacities of Non-profit Organizations (NPOs) in the areas of Financial Management, Governance, and Legal Compliance. To enhance accountable practices in the voluntary sector, FMSF serves as a vital resource hub for NPOs. FMSF engages with various development actors to raise awareness and provide support through training, workshops, seminars, advisory services, publications, and web-based outreach. By continually evolving, adapting, and offering expert guidance, FMSF plays a crucial role in strengthening the voluntary sector and contributing to positive social impact.
Position Overview
The
Specialist – Financial Management and Compliance
will play a vital role in a program which seeks to strengthen the internal capacities of non-profit organizations in India across three building blocks of institutional functioning: governance, financial management, and compliance. These areas are deeply interconnected and together determine how effectively an organization operates, delivers programs and meets the expectations of its stakeholders. This position demands expertise in specific areas related to governance, compliance, and financial management, contributing essential guidance and support to strengthen the capabilities of participating organizations.
Job Responsibilities:
Provide specialized knowledge and expertise in the designated thematic area (e.g., Governance, Compliance, and Financial Management).
Provide handholding and accompaniment support to organizations for robust system development
Conduct organizational capacity assessment
Design and implement tailor-made solution for strengthening the capacity of the partner organizations in the areas of financial management, governance and compliances.
Assist in development of training modules, and other content to align with the thematic focus.
Develop tools, manuals, formats, etc. for organizational system strengthening
Conduct field visits to assess progress and offer necessary assistance.
Provide mentoring, coaching, and technical assistance to NPOs within the financial domain
Collaborate effectively with Partners and other stakeholders to implement project activities effectively
Conduct research and analysis to provide valuable insights for enhancing thematic capacity.
Stay updated on financial emerging trends, best practices, and developments within the sector
Undertake additional duties within the position's scope as required by FMSF.
Skills and Qualifications:
Preferably a M.COM/MBA/CA or equivalent qualification.
Minimum of 5-7 years of experience working in Finance and Accounting in the NPO sector
Excellent communication skills (English and Hindi)
Proficiency in project coordination and stakeholder engagement
Proficient in providing guidance on Financial compliances to partners
Proficiency in data analysis and reporting
Strong technical skills
Willingness to travel
Proficient in Accounting and IT software and tools
Note
: Please be aware that the details provided herein are intended to convey the core responsibilities and necessary skills pertinent to the role and is subject to modification based on organizational needs.
Why Join Us
Joining FMSF means becoming part of a passionate team dedicated to making a positive impact. We offer competitive compensation, opportunities for professional development, and a supportive work environment where your contributions are valued and recognized. If you are committed to driving positive change, promoting accountability and strengthening the development sector, we encourage you to apply for the position of
Specialist – Financial Management and Compliance
at FMSF.
Your Resume must be accompanied with:
Motivational letter justifying suitability for the position – role fitment based on present &amp; past work experience
Current/last drawn compensation &amp; expected compensation
CVs without Motivational Letter will not be considered
How to Apply:
Please fill the form online to apply for the said position
https://www.fmsfindia.org.in/apply-now/specialist-financial-management-and-compliance1
FMSF is an Equal Opportunity Employer.
Please note that only the shortlisted candidates will be contacted.
View Similar Jobs:
Was this job of interest to you? Subscribe to Value Membership to get access to similar jobs and hundreds of other member-only jobs.
Subscribe
Apply by:
13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E28" s="2" t="inlineStr">
        <is>
          <t>• will play a vital role in a program which seeks to strengthen the internal capacities of non-profit organizations in India across three building blocks of institutional functioning: governance, financial management, and compliance. These areas are deeply interconnected and together determine how effectively an organization operates, delivers programs and meets the expectations of its stakeholders. This position demands expertise in specific areas related to governance, compliance, and financial management, contributing essential guidance and support to strengthen the capabilities of participating organizations.
Job Responsibilities:
Provide specialized knowledge and expertise in the designated thematic area (e.g., Governance, Compliance, and Financial Management).
Provide handholding and accompaniment support to organizations for robust system development
Conduct organizational capacity assessment
Design and implement tailor-made solution for strengthening the capacity of the partner organizations in the areas of financial management, governance and compliances.
Assist in development of training modules, and other content to align with the thematic focus.
Develop tools, manuals, formats, etc. for organizational system strengthening
Conduct field visits to assess progress and offer necessary assistance.
Provide mentoring, coaching, and technical assistance to NPOs within the financial domain
Collaborate effectively with Partners and other stakeholders to implement project activities effectively
Conduct research and analysis to provide valuable insights for enhancing thematic capacity.
Stay updated on financial emerging trends, best practices, and developments within the sector
Undertake additional duties within the position's scope as required by FMSF.
Skills and Qualifications:
Preferably a M.COM/MBA/CA or equivalent qualification.
Minimum of 5-7 years of experience working in Finance and Accounting in the NPO sector
Excellent communication skills (English and Hindi)
Proficiency in project coordination and stakeholder engagement
Proficient in providing guidance on Financial compliances to partners
Proficiency in data analysis and reporting
Strong technical skills
Willingness to travel
Proficient in Accounting and IT software and tools
Note
: Please be aware that the details provided herein are intended to convey the core responsibilities and necessary skills pertinent to the role and is subject to modification based on organizational needs.
Why Join Us
• Joining FMSF means becoming part of a passionate team dedicated to making a positive impact. We offer competitive compensation, opportunities for professional development, and a supportive work environment where your contributions are valued and recognized. If you are committed to driving positive change, promoting accountability and strengthening the development sector, we encourage you to apply for the position of
Specialist – Financial Management and Compliance
at FMSF.
Your Resume must be accompanied with:
Motivational letter justifying suitability for the position – role fitment based on present &amp; past work experience
Current/last drawn compensation &amp; expected compensation
CVs without Motivational Letter will not be considered
• How to Apply:
• Please fill the form online to apply for the said position
https://www.fmsfindia.org.in/apply-now/specialist-financial-management-and-compliance1
FMSF is an Equal Opportunity Employer.
Please note that only the shortlisted candidates will be contacted.
View Similar Jobs:
Was this job of interest to you? Subscribe to Value Membership to get access to similar jobs and hundreds of other member-only jobs.
Subscribe
Apply by:
13 Mar 2026
Access all the jobs and get ahead!
Subscribe to Value Membership Now!
Subscribe
Premium Jobs
Post your premium jobs here
Operations Expert
The Voluntary Health Services (VHS)
Location:
Delhi
Apply by:
23 Feb 2026
Public Health Specialist (Planning Section)
The Voluntary Health Services (VHS)
Location:
Delhi
Apply by:
23 Feb 2026
Proposal Development Associate
Academy of Management Studies (AMS)
Location:
Uttar Pradesh
Apply by:
28 Feb 2026
Associate (Programme Management)
Indian Institute For Human Settlements (Iihs)
Location:
Karnataka
Apply by:
07 Mar 2026
Specialist – Financial Management and Compliance
Financial Management Service Foundation (FMSF)
Location:
Uttar Pradesh
Apply by:
13 Mar 2026
Chief Programs Officer for Project Potential
Project Potential
Location:
Bihar
Apply by:
11 Mar 2026
Program Lead- Finance &amp; Compliance for Project Po...
Project Potential
Location:
Bihar
Apply by:
11 Mar 2026
Laboratory Animal Veterinarian - Consultant
The International Centre for Genetic Engineering ...
Location:
Delhi
Apply by:
15 Feb 2026
Program Manager - Delhi Chapter
Ullas Trust
Location:
Delhi
Apply by:
22 Feb 2026
Mobilization Executive
PanIIT Alumni Reach for Jharkhand (PREJHA) Founda...
Location:
Jharkhand
Apply by:
18 Feb 2026
Latest Jobs
Post your highlighted jobs here
Accounts and Finance Officer
Social Revival Group of Urban Rural and Tribal (S...
Location:
Chhattisgarh
Apply by:
14 Mar 2026
Programme Manager – Arogya Project
Social Revival Group of Urban Rural and Tribal (S...
Location:
Chhattisgarh
Apply by:
14 Mar 2026
Programme Manager – Nandghar Project
Social Revival Group of Urban Rural and Tribal (S...
Location:
Chhattisgarh
Apply by:
14 Mar 2026
HR Coordinator
Maitrayana Charity Foundation
Location:
Delhi
Apply by:
20 Feb 2026
Literacy Facilitator, Literacy Field - Telangana
Room to Read India
Location:
Telangana
Apply by:
11 Mar 2026
RFP - Audio Quality Annotation of Student Voice R...
Lords Education and Health Society (LEHS)
Location:
India
Apply by:
20 Feb 2026
RFP - Procurement of Digital Marketing Agency – S...
HelpAge India
Location:
India
Apply by:
22 Feb 2026
RFP -  On boarding a production house to create a...
Breakthrough
Location:
India
Apply by:
18 Feb 2026
Jobseekers
Register
Login
Subscribe to Value Membership
Broadcast Resume
Contact Us
Recruiters
Recruiters Zone
Post a Free Job
Post a Highlighted Job (With Logo)
Post a Highlighted Job (Without Logo)
Post a Premium Job
More Job Posting Options
Rates
Contact Us
Advertisers
Networks
Advertise Your Banner
Submit Events &amp; Notices
© 2025 M-Power Jobs. All rights reserved.
Disclaimer
Privacy Policy
Terms &amp; Conditions
Powered by
Recruitment Exchange</t>
        </is>
      </c>
      <c r="F28" s="1" t="inlineStr">
        <is>
          <t>Governance</t>
        </is>
      </c>
      <c r="G28" s="1" t="inlineStr">
        <is>
          <t>13-03-2026</t>
        </is>
      </c>
      <c r="H28" s="1" t="n">
        <v>25</v>
      </c>
      <c r="I28" s="1">
        <f>HYPERLINK("https://www.devnetjobsindia.org/JobDescription.aspx?Job_Id=287015","Specialist – Financial Management and Compliance")</f>
        <v/>
      </c>
    </row>
    <row r="29">
      <c r="A29" s="1" t="inlineStr">
        <is>
          <t>Nasscom</t>
        </is>
      </c>
      <c r="B29" s="1" t="inlineStr"/>
      <c r="C29" s="1" t="inlineStr">
        <is>
          <t>RFP for Endline Evaluation Study - HSBC GCC Women Entrepreneurship Program - Click here</t>
        </is>
      </c>
      <c r="D29" s="2" t="inlineStr"/>
      <c r="E29" s="2" t="inlineStr"/>
      <c r="F29" s="1" t="inlineStr">
        <is>
          <t>Governance</t>
        </is>
      </c>
      <c r="G29" s="1" t="inlineStr"/>
      <c r="H29" s="1" t="inlineStr"/>
      <c r="I29" s="1">
        <f>HYPERLINK("https://www.nasscomfoundation.org/pdf/endline-evaluation-study-hsbc-gcc-women-entrepreneurship-program.pdf","RFP for Endline Evaluation Study - HSBC GCC Women Entrepreneurship Program - Click here")</f>
        <v/>
      </c>
    </row>
    <row r="30">
      <c r="A30" s="1" t="inlineStr">
        <is>
          <t>Nasscom</t>
        </is>
      </c>
      <c r="B30" s="1" t="inlineStr"/>
      <c r="C30" s="1" t="inlineStr">
        <is>
          <t>Travel &amp; Transportation Services for Trainer Mobility - IBM SkillBuild Bootcamps - Click here</t>
        </is>
      </c>
      <c r="D30" s="2" t="inlineStr"/>
      <c r="E30" s="2" t="inlineStr"/>
      <c r="F30" s="1" t="inlineStr">
        <is>
          <t>Learning</t>
        </is>
      </c>
      <c r="G30" s="1" t="inlineStr"/>
      <c r="H30" s="1" t="inlineStr"/>
      <c r="I30" s="1">
        <f>HYPERLINK("https://www.nasscomfoundation.org/pdf/travel-and-transportation-services-for-trainer-mobility-ibm-skillbuild-bootcamps.pdf","Travel &amp; Transportation Services for Trainer Mobility - IBM SkillBuild Bootcamps - Click here")</f>
        <v/>
      </c>
    </row>
    <row r="31">
      <c r="A31" s="1" t="inlineStr">
        <is>
          <t>Nasscom</t>
        </is>
      </c>
      <c r="B31" s="1" t="inlineStr"/>
      <c r="C31" s="1" t="inlineStr">
        <is>
          <t>Baseline and End-line Evaluation of the HSBC Neurodivergent Digital Annotator Skilling Program - Click here | Click here</t>
        </is>
      </c>
      <c r="D31" s="2" t="inlineStr"/>
      <c r="E31" s="2" t="inlineStr"/>
      <c r="F31" s="1" t="inlineStr">
        <is>
          <t>Governance</t>
        </is>
      </c>
      <c r="G31" s="1" t="inlineStr"/>
      <c r="H31" s="1" t="inlineStr"/>
      <c r="I31" s="1">
        <f>HYPERLINK("https://www.nasscomfoundation.org/pdf/baseline-and-end-line-evaluation-of-hsbc-neurodivergent-digital-annotator-skilling-program.pdf","Baseline and End-line Evaluation of the HSBC Neurodivergent Digital Annotator Skilling Program - Click here | Click here")</f>
        <v/>
      </c>
    </row>
    <row r="32">
      <c r="A32" s="1" t="inlineStr">
        <is>
          <t>Nasscom</t>
        </is>
      </c>
      <c r="B32" s="1" t="inlineStr"/>
      <c r="C32" s="1" t="inlineStr">
        <is>
          <t>RFP for Catering Vendor - IBM Skillbuild Bootcamps - Click here</t>
        </is>
      </c>
      <c r="D32" s="2" t="inlineStr"/>
      <c r="E32" s="2" t="inlineStr"/>
      <c r="F32" s="1" t="inlineStr">
        <is>
          <t>Learning</t>
        </is>
      </c>
      <c r="G32" s="1" t="inlineStr"/>
      <c r="H32" s="1" t="inlineStr"/>
      <c r="I32" s="1">
        <f>HYPERLINK("https://www.nasscomfoundation.org/pdf/rfp-for-catering-vendor-ibm-skillbuild-bootcamps.pdf","RFP for Catering Vendor - IBM Skillbuild Bootcamps - Click here")</f>
        <v/>
      </c>
    </row>
    <row r="33">
      <c r="A33" s="1" t="inlineStr">
        <is>
          <t>Nasscom</t>
        </is>
      </c>
      <c r="B33" s="1" t="inlineStr"/>
      <c r="C33" s="1" t="inlineStr">
        <is>
          <t>Organization-wide Management Information System (MIS) for Nasscom Foundation - Click here</t>
        </is>
      </c>
      <c r="D33" s="2" t="inlineStr"/>
      <c r="E33" s="2" t="inlineStr"/>
      <c r="F33" s="1" t="inlineStr">
        <is>
          <t>Governance</t>
        </is>
      </c>
      <c r="G33" s="1" t="inlineStr"/>
      <c r="H33" s="1" t="inlineStr"/>
      <c r="I33" s="1">
        <f>HYPERLINK("https://www.nasscomfoundation.org/pdf/organization-wide-management-information-system-for-nasscom-foundation.pdf","Organization-wide Management Information System (MIS) for Nasscom Foundation - Click here")</f>
        <v/>
      </c>
    </row>
    <row r="34">
      <c r="A34" s="1" t="inlineStr">
        <is>
          <t>Nasscom</t>
        </is>
      </c>
      <c r="B34" s="1" t="inlineStr"/>
      <c r="C34" s="1" t="inlineStr">
        <is>
          <t>Request for Proposal (RFP) for Social Media Management Services - Click here</t>
        </is>
      </c>
      <c r="D34" s="2" t="inlineStr"/>
      <c r="E34" s="2" t="inlineStr"/>
      <c r="F34" s="1" t="inlineStr">
        <is>
          <t>Governance</t>
        </is>
      </c>
      <c r="G34" s="1" t="inlineStr"/>
      <c r="H34" s="1" t="inlineStr"/>
      <c r="I34" s="1">
        <f>HYPERLINK("https://www.nasscomfoundation.org/pdf/request-for-proposal-for-social-media-management-services.pdf","Request for Proposal (RFP) for Social Media Management Services - Click here")</f>
        <v/>
      </c>
    </row>
    <row r="35">
      <c r="A35" s="1" t="inlineStr">
        <is>
          <t>Nasscom</t>
        </is>
      </c>
      <c r="B35" s="1" t="inlineStr"/>
      <c r="C35" s="1" t="inlineStr">
        <is>
          <t>RFP - TechForSociety - Evaluation Study - Click here</t>
        </is>
      </c>
      <c r="D35" s="2" t="inlineStr"/>
      <c r="E35" s="2" t="inlineStr"/>
      <c r="F35" s="1" t="inlineStr">
        <is>
          <t>Governance</t>
        </is>
      </c>
      <c r="G35" s="1" t="inlineStr"/>
      <c r="H35" s="1" t="inlineStr"/>
      <c r="I35" s="1">
        <f>HYPERLINK("https://www.nasscomfoundation.org/pdf/techforsociety-evaluation-study.pdf","RFP - TechForSociety - Evaluation Study - Click here")</f>
        <v/>
      </c>
    </row>
    <row r="36">
      <c r="A36" s="1" t="inlineStr">
        <is>
          <t>Nasscom</t>
        </is>
      </c>
      <c r="B36" s="1" t="inlineStr"/>
      <c r="C36" s="1" t="inlineStr">
        <is>
          <t>Base-line and End-line evaluation for Digital Literacy Project in 4 States - Click here</t>
        </is>
      </c>
      <c r="D36" s="2" t="inlineStr"/>
      <c r="E36" s="2" t="inlineStr"/>
      <c r="F36" s="1" t="inlineStr">
        <is>
          <t>Governance</t>
        </is>
      </c>
      <c r="G36" s="1" t="inlineStr"/>
      <c r="H36" s="1" t="inlineStr"/>
      <c r="I36" s="1">
        <f>HYPERLINK("https://www.nasscomfoundation.org/pdf/base-line-and-end-line-evaluation-for-digital-literacy-project-in-4-states.pdf","Base-line and End-line evaluation for Digital Literacy Project in 4 States - Click here")</f>
        <v/>
      </c>
    </row>
    <row r="37">
      <c r="A37" s="1" t="inlineStr">
        <is>
          <t>Nasscom</t>
        </is>
      </c>
      <c r="B37" s="1" t="inlineStr"/>
      <c r="C37" s="1" t="inlineStr">
        <is>
          <t>IP Selection - Scholarship Support to students from Economically Weaker Section pursuing higher education in STEM courses - Click here</t>
        </is>
      </c>
      <c r="D37" s="2" t="inlineStr"/>
      <c r="E37" s="2" t="inlineStr"/>
      <c r="F37" s="1" t="inlineStr">
        <is>
          <t>Learning</t>
        </is>
      </c>
      <c r="G37" s="1" t="inlineStr"/>
      <c r="H37" s="1" t="inlineStr"/>
      <c r="I37" s="1">
        <f>HYPERLINK("https://www.nasscomfoundation.org/pdf/scholarship-support-for-economically-weaker-section-students-in-stem-higher-education.pdf","IP Selection - Scholarship Support to students from Economically Weaker Section pursuing higher education in STEM courses - Click here")</f>
        <v/>
      </c>
    </row>
    <row r="38">
      <c r="A38" s="1" t="inlineStr">
        <is>
          <t>Nasscom</t>
        </is>
      </c>
      <c r="B38" s="1" t="inlineStr"/>
      <c r="C38" s="1" t="inlineStr">
        <is>
          <t>Digital Upskilling of Farmer Producer Organizations (FPOs) through Technology - Click here</t>
        </is>
      </c>
      <c r="D38" s="2" t="inlineStr"/>
      <c r="E38" s="2" t="inlineStr"/>
      <c r="F38" s="1" t="inlineStr">
        <is>
          <t>Learning</t>
        </is>
      </c>
      <c r="G38" s="1" t="inlineStr"/>
      <c r="H38" s="1" t="inlineStr"/>
      <c r="I38" s="1">
        <f>HYPERLINK("https://www.nasscomfoundation.org/pdf/baseline-endline-study-digital-upskilling-fpos-technology.pdf","Digital Upskilling of Farmer Producer Organizations (FPOs) through Technology - Click here")</f>
        <v/>
      </c>
    </row>
    <row r="39">
      <c r="A39" s="1" t="inlineStr">
        <is>
          <t>Nasscom</t>
        </is>
      </c>
      <c r="B39" s="1" t="inlineStr"/>
      <c r="C39" s="1" t="inlineStr">
        <is>
          <t>Project - Accelerating 100 Women Micro Entrepreneurs of Northeastern States - Click here</t>
        </is>
      </c>
      <c r="D39" s="2" t="inlineStr"/>
      <c r="E39" s="2" t="inlineStr"/>
      <c r="F39" s="1" t="inlineStr">
        <is>
          <t>Learning</t>
        </is>
      </c>
      <c r="G39" s="1" t="inlineStr"/>
      <c r="H39" s="1" t="inlineStr"/>
      <c r="I39" s="1">
        <f>HYPERLINK("https://www.nasscomfoundation.org/pdf/project-accelerating-100-women-micro-entrepreneurs-of-northeastern-states.pdf","Project - Accelerating 100 Women Micro Entrepreneurs of Northeastern States - Click here")</f>
        <v/>
      </c>
    </row>
    <row r="40">
      <c r="A40" s="1" t="inlineStr">
        <is>
          <t>Nasscom</t>
        </is>
      </c>
      <c r="B40" s="1" t="inlineStr"/>
      <c r="C40" s="1" t="inlineStr">
        <is>
          <t>Agency for Developing Training Modules and Conducting Training of Trainers (ToT) for MSMEs on IPR and Financial Management - Click here</t>
        </is>
      </c>
      <c r="D40" s="2" t="inlineStr"/>
      <c r="E40" s="2" t="inlineStr"/>
      <c r="F40" s="1" t="inlineStr">
        <is>
          <t>Governance</t>
        </is>
      </c>
      <c r="G40" s="1" t="inlineStr"/>
      <c r="H40" s="1" t="inlineStr"/>
      <c r="I40" s="1">
        <f>HYPERLINK("https://www.nasscomfoundation.org/pdf/agency-for-developing-training-modules-and-conducting-ToT-for-MSMEs-on-IPR-and-financial-management.pdf","Agency for Developing Training Modules and Conducting Training of Trainers (ToT) for MSMEs on IPR and Financial Management - Click here")</f>
        <v/>
      </c>
    </row>
    <row r="41">
      <c r="A41" s="1" t="inlineStr">
        <is>
          <t>Nasscom</t>
        </is>
      </c>
      <c r="B41" s="1" t="inlineStr"/>
      <c r="C41" s="1" t="inlineStr">
        <is>
          <t>RFP for WISE - Women in Innovation, Skills &amp; Entrepreneurship - Click here</t>
        </is>
      </c>
      <c r="D41" s="2" t="inlineStr"/>
      <c r="E41" s="2" t="inlineStr"/>
      <c r="F41" s="1" t="inlineStr">
        <is>
          <t>Learning</t>
        </is>
      </c>
      <c r="G41" s="1" t="inlineStr"/>
      <c r="H41" s="1" t="inlineStr"/>
      <c r="I41" s="1">
        <f>HYPERLINK("https://www.nasscomfoundation.org/pdf/women-in-Innovation-skills-and-entrepreneurship.pdf","RFP for WISE - Women in Innovation, Skills &amp; Entrepreneurship - Click here")</f>
        <v/>
      </c>
    </row>
    <row r="42">
      <c r="A42" s="1" t="inlineStr">
        <is>
          <t>Nasscom</t>
        </is>
      </c>
      <c r="B42" s="1" t="inlineStr"/>
      <c r="C42" s="1" t="inlineStr">
        <is>
          <t>Women Entrepreneurs Digital Upskilling Project - ATR Program In collaboration with Women Entrepreneurship Platform (WEP), NITI Aayog &amp; Nasscom Foundation - English  - Click here</t>
        </is>
      </c>
      <c r="D42" s="2" t="inlineStr"/>
      <c r="E42" s="2" t="inlineStr"/>
      <c r="F42" s="1" t="inlineStr">
        <is>
          <t>Learning</t>
        </is>
      </c>
      <c r="G42" s="1" t="inlineStr"/>
      <c r="H42" s="1" t="inlineStr"/>
      <c r="I42" s="1">
        <f>HYPERLINK("https://www.nasscomfoundation.org/pdf/WEP-NI-ATR-RFA-English.pdf","Women Entrepreneurs Digital Upskilling Project - ATR Program In collaboration with Women Entrepreneurship Platform (WEP), NITI Aayog &amp; Nasscom Foundation - English  - Click here")</f>
        <v/>
      </c>
    </row>
    <row r="43">
      <c r="A43" s="1" t="inlineStr">
        <is>
          <t>Nasscom</t>
        </is>
      </c>
      <c r="B43" s="1" t="inlineStr"/>
      <c r="C43" s="1" t="inlineStr">
        <is>
          <t>Women Entrepreneurs Digital Upskilling Project - ATR Program In collaboration with Women Entrepreneurship Platform (WEP), NITI Aayog &amp; Nasscom Foundation - Kannada - Click here</t>
        </is>
      </c>
      <c r="D43" s="2" t="inlineStr"/>
      <c r="E43" s="2" t="inlineStr"/>
      <c r="F43" s="1" t="inlineStr">
        <is>
          <t>Learning</t>
        </is>
      </c>
      <c r="G43" s="1" t="inlineStr"/>
      <c r="H43" s="1" t="inlineStr"/>
      <c r="I43" s="1">
        <f>HYPERLINK("https://www.nasscomfoundation.org/pdf/WEP-NI-ATR-RFA-Kannada.pdf","Women Entrepreneurs Digital Upskilling Project - ATR Program In collaboration with Women Entrepreneurship Platform (WEP), NITI Aayog &amp; Nasscom Foundation - Kannada - Click here")</f>
        <v/>
      </c>
    </row>
    <row r="44">
      <c r="A44" s="1" t="inlineStr">
        <is>
          <t>Nasscom</t>
        </is>
      </c>
      <c r="B44" s="1" t="inlineStr"/>
      <c r="C44" s="1" t="inlineStr">
        <is>
          <t>RFP - Trainer for Nano Women Entrepreneurs in Karnataka - Click here</t>
        </is>
      </c>
      <c r="D44" s="2" t="inlineStr"/>
      <c r="E44" s="2" t="inlineStr"/>
      <c r="F44" s="1" t="inlineStr">
        <is>
          <t>Learning</t>
        </is>
      </c>
      <c r="G44" s="1" t="inlineStr"/>
      <c r="H44" s="1" t="inlineStr"/>
      <c r="I44" s="1">
        <f>HYPERLINK("https://www.nasscomfoundation.org/pdf/trainer-for-nano-women-entrepreneurs-in-karnataka.pdf","RFP - Trainer for Nano Women Entrepreneurs in Karnataka - Click here")</f>
        <v/>
      </c>
    </row>
    <row r="45">
      <c r="A45" s="1" t="inlineStr">
        <is>
          <t>Nasscom</t>
        </is>
      </c>
      <c r="B45" s="1" t="inlineStr"/>
      <c r="C45" s="1" t="inlineStr">
        <is>
          <t>RFP - Training Agency with Content and Trainers for Nano Women Entrepreneurs in Karnataka - Click here</t>
        </is>
      </c>
      <c r="D45" s="2" t="inlineStr"/>
      <c r="E45" s="2" t="inlineStr"/>
      <c r="F45" s="1" t="inlineStr">
        <is>
          <t>Learning</t>
        </is>
      </c>
      <c r="G45" s="1" t="inlineStr"/>
      <c r="H45" s="1" t="inlineStr"/>
      <c r="I45" s="1">
        <f>HYPERLINK("https://www.nasscomfoundation.org/pdf/training-agency-with-content-and-trainers-for-nano-women-entrepreneurs-in-karnataka.pdf","RFP - Training Agency with Content and Trainers for Nano Women Entrepreneurs in Karnataka - Click here")</f>
        <v/>
      </c>
    </row>
    <row r="46">
      <c r="A46" s="1" t="inlineStr">
        <is>
          <t>Nasscom</t>
        </is>
      </c>
      <c r="B46" s="1" t="inlineStr"/>
      <c r="C46" s="1" t="inlineStr">
        <is>
          <t>Access to E-Governance and Livelihood in PVTG Communities in Aspirational Blocks - Click here</t>
        </is>
      </c>
      <c r="D46" s="2" t="inlineStr"/>
      <c r="E46" s="2" t="inlineStr"/>
      <c r="F46" s="1" t="inlineStr">
        <is>
          <t>Governance</t>
        </is>
      </c>
      <c r="G46" s="1" t="inlineStr"/>
      <c r="H46" s="1" t="inlineStr"/>
      <c r="I46" s="1">
        <f>HYPERLINK("https://www.nasscomfoundation.org/pdf/access-to-e-governance-and-livelihood-in-pvtg-communities-in-aspirational-blocks.pdf","Access to E-Governance and Livelihood in PVTG Communities in Aspirational Blocks - Click here")</f>
        <v/>
      </c>
    </row>
    <row r="47">
      <c r="A47" s="1" t="inlineStr">
        <is>
          <t>Nasscom</t>
        </is>
      </c>
      <c r="B47" s="1" t="inlineStr"/>
      <c r="C47" s="1" t="inlineStr">
        <is>
          <t>thingQbator Portal Enhancement and Maintenance Proposal - Click here</t>
        </is>
      </c>
      <c r="D47" s="2" t="inlineStr"/>
      <c r="E47" s="2" t="inlineStr"/>
      <c r="F47" s="1" t="inlineStr">
        <is>
          <t>Learning</t>
        </is>
      </c>
      <c r="G47" s="1" t="inlineStr"/>
      <c r="H47" s="1" t="inlineStr"/>
      <c r="I47" s="1">
        <f>HYPERLINK("https://www.nasscomfoundation.org/pdf/thingQbator-portal-enhancement-and-maintenance-proposal.pdf","thingQbator Portal Enhancement and Maintenance Proposal - Click here")</f>
        <v/>
      </c>
    </row>
    <row r="48">
      <c r="A48" s="1" t="inlineStr">
        <is>
          <t>HCL Foundation</t>
        </is>
      </c>
      <c r="B48" s="1" t="inlineStr">
        <is>
          <t>N/A</t>
        </is>
      </c>
      <c r="C48" s="1" t="inlineStr">
        <is>
          <t>HCLFoundation, under its Environment flagship programme Harit, invites RFP from NGOs / CSR organizations/ agencies / Institutions working towards Biodiversity monitoring for Pan-India Afforestation sites</t>
        </is>
      </c>
      <c r="D48" s="2" t="inlineStr"/>
      <c r="E48" s="2" t="inlineStr"/>
      <c r="F48" s="1" t="inlineStr">
        <is>
          <t>Climate</t>
        </is>
      </c>
      <c r="G48" s="1" t="inlineStr">
        <is>
          <t>10th Feb, 2026</t>
        </is>
      </c>
      <c r="H48" s="1" t="inlineStr"/>
      <c r="I48" s="1">
        <f>HYPERLINK("https://www.hclfoundation.org/sites/default/files/2026-01/RFP_Biodiversity%20monitoring%20for%20Pan-India%20Afforestation%20sites%202-DSB.pdf","HCLFoundation, under its Environment flagship programme Harit, invites RFP from NGOs / CSR organizations/ agencies / Institutions working towards Biodiversity monitoring for Pan-India Afforestation sites")</f>
        <v/>
      </c>
    </row>
    <row r="49">
      <c r="A49" s="1" t="inlineStr">
        <is>
          <t>HCL Foundation</t>
        </is>
      </c>
      <c r="B49" s="1" t="inlineStr">
        <is>
          <t>N/A</t>
        </is>
      </c>
      <c r="C49" s="1" t="inlineStr">
        <is>
          <t>HCLFoundation, under its Environment flagship programme Harit, invites RFP from NGOs / CSR organizations/ agencies / Institutions working towards soil profiling and assessment from the restored and rejuvenated Harit sites.</t>
        </is>
      </c>
      <c r="D49" s="2" t="inlineStr"/>
      <c r="E49" s="2" t="inlineStr"/>
      <c r="F49" s="1" t="inlineStr">
        <is>
          <t>Climate</t>
        </is>
      </c>
      <c r="G49" s="1" t="inlineStr">
        <is>
          <t>10th Feb, 2026</t>
        </is>
      </c>
      <c r="H49" s="1" t="inlineStr"/>
      <c r="I49" s="1">
        <f>HYPERLINK("https://www.hclfoundation.org/sites/default/files/2026-01/RFP_Soil%20assessment-v1%20RKS-DSB_0.pdf","HCLFoundation, under its Environment flagship programme Harit, invites RFP from NGOs / CSR organizations/ agencies / Institutions working towards soil profiling and assessment from the restored and rejuvenated Harit sites.")</f>
        <v/>
      </c>
    </row>
    <row r="50">
      <c r="A50" s="1" t="inlineStr">
        <is>
          <t>HCL Foundation</t>
        </is>
      </c>
      <c r="B50" s="1" t="inlineStr">
        <is>
          <t>N/A</t>
        </is>
      </c>
      <c r="C50" s="1" t="inlineStr">
        <is>
          <t>HCLFoundation invites proposals from NGOs/CSR implementing agencies for ‘Operating a Social Enterprise Cafe” under the flagship urban development programme - Uday</t>
        </is>
      </c>
      <c r="D50" s="2" t="inlineStr"/>
      <c r="E50" s="2" t="inlineStr"/>
      <c r="F50" s="1" t="inlineStr">
        <is>
          <t>Learning</t>
        </is>
      </c>
      <c r="G50" s="1" t="inlineStr">
        <is>
          <t>15th Dec, 2025</t>
        </is>
      </c>
      <c r="H50" s="1" t="inlineStr"/>
      <c r="I50" s="1">
        <f>HYPERLINK("https://www.hclfoundation.org/sites/default/files/2025-11/RfP_Social%20Enterprise%20Cafe_UDAY.docx","HCLFoundation invites proposals from NGOs/CSR implementing agencies for ‘Operating a Social Enterprise Cafe” under the flagship urban development programme - Uday")</f>
        <v/>
      </c>
    </row>
    <row r="51">
      <c r="A51" s="1" t="inlineStr">
        <is>
          <t>HCL Foundation</t>
        </is>
      </c>
      <c r="B51" s="1" t="inlineStr">
        <is>
          <t>N/A</t>
        </is>
      </c>
      <c r="C51" s="1" t="inlineStr">
        <is>
          <t>Programme Officer/Senior Programme Officer – Environment Education</t>
        </is>
      </c>
      <c r="D51" s="2" t="inlineStr"/>
      <c r="E51" s="2" t="inlineStr"/>
      <c r="F51" s="1" t="inlineStr">
        <is>
          <t>Learning, Climate</t>
        </is>
      </c>
      <c r="G51" s="1" t="inlineStr">
        <is>
          <t>10th Nov, 2025</t>
        </is>
      </c>
      <c r="H51" s="1" t="inlineStr"/>
      <c r="I51" s="1">
        <f>HYPERLINK("https://www.hclfoundation.org/sites/default/files/2025-10/Harit_POSPO_EEA_Multilocation_Oct%202025.pdf","Programme Officer/Senior Programme Officer – Environment Education")</f>
        <v/>
      </c>
    </row>
    <row r="52">
      <c r="A52" s="1" t="inlineStr">
        <is>
          <t>HCL Foundation</t>
        </is>
      </c>
      <c r="B52" s="1" t="inlineStr">
        <is>
          <t>N/A</t>
        </is>
      </c>
      <c r="C52" s="1" t="inlineStr">
        <is>
          <t>HCLFoundation invites applications for the PO/SPO position under its flagship programme Harit by HCLFoundation</t>
        </is>
      </c>
      <c r="D52" s="2" t="inlineStr"/>
      <c r="E52" s="2" t="inlineStr"/>
      <c r="F52" s="1" t="inlineStr">
        <is>
          <t>N/A</t>
        </is>
      </c>
      <c r="G52" s="1" t="inlineStr">
        <is>
          <t>31st Oct, 2025</t>
        </is>
      </c>
      <c r="H52" s="1" t="inlineStr"/>
      <c r="I52" s="1">
        <f>HYPERLINK("https://www.hclfoundation.org/sites/default/files/2025-10/JD_Water%20Conservation_SPO%20V4.pdf","HCLFoundation invites applications for the PO/SPO position under its flagship programme Harit by HCLFoundation")</f>
        <v/>
      </c>
    </row>
    <row r="53">
      <c r="A53" s="1" t="inlineStr">
        <is>
          <t>HCL Foundation</t>
        </is>
      </c>
      <c r="B53" s="1" t="inlineStr">
        <is>
          <t>N/A</t>
        </is>
      </c>
      <c r="C53" s="1" t="inlineStr">
        <is>
          <t>HCLFoundation, under its Environment flagship programme Harit by HCLFoundation, invites RFP from NGOs / CSR organizations working in Water Conservation for the development of Water Structures etc.</t>
        </is>
      </c>
      <c r="D53" s="2" t="inlineStr"/>
      <c r="E53" s="2" t="inlineStr"/>
      <c r="F53" s="1" t="inlineStr">
        <is>
          <t>Learning, Climate</t>
        </is>
      </c>
      <c r="G53" s="1" t="inlineStr">
        <is>
          <t>21st May, 2025</t>
        </is>
      </c>
      <c r="H53" s="1" t="inlineStr"/>
      <c r="I53" s="1">
        <f>HYPERLINK("https://www.hclfoundation.org/sites/default/files/2025-04/Final_RFP%20for%20water%20structure%20rejuvenation%20.docx","HCLFoundation, under its Environment flagship programme Harit by HCLFoundation, invites RFP from NGOs / CSR organizations working in Water Conservation for the development of Water Structures etc.")</f>
        <v/>
      </c>
    </row>
    <row r="54">
      <c r="A54" s="1" t="inlineStr">
        <is>
          <t>HCL Foundation</t>
        </is>
      </c>
      <c r="B54" s="1" t="inlineStr">
        <is>
          <t>N/A</t>
        </is>
      </c>
      <c r="C54" s="1" t="inlineStr">
        <is>
          <t>HCLFoundation invites technical application abstracts for the developing technology drive source code model mobile applications and web portals for addressing human-animal interactions under the Animal Welfare thematic of  Harit by HCLFoundation</t>
        </is>
      </c>
      <c r="D54" s="2" t="inlineStr"/>
      <c r="E54" s="2" t="inlineStr"/>
      <c r="F54" s="1" t="inlineStr">
        <is>
          <t>N/A</t>
        </is>
      </c>
      <c r="G54" s="1" t="inlineStr">
        <is>
          <t>15th May, 2025</t>
        </is>
      </c>
      <c r="H54" s="1" t="inlineStr"/>
      <c r="I54" s="1">
        <f>HYPERLINK("https://www.hclfoundation.org/sites/default/files/2025-04/EoI_AW%20Tech%20Based%20Source%20Code%20Model_V1%20%281%29.docx","HCLFoundation invites technical application abstracts for the developing technology drive source code model mobile applications and web portals for addressing human-animal interactions under the Animal Welfare thematic of  Harit by HCLFoundation")</f>
        <v/>
      </c>
    </row>
    <row r="55">
      <c r="A55" s="1" t="inlineStr">
        <is>
          <t>HCL Foundation</t>
        </is>
      </c>
      <c r="B55" s="1" t="inlineStr">
        <is>
          <t>N/A</t>
        </is>
      </c>
      <c r="C55" s="1" t="inlineStr">
        <is>
          <t>HCLFoundation, under its Environment flagship programme Harit invites RFP from NGOs/CSR organizations working in the field of environment for project on the restoration of various degraded and natural habitats</t>
        </is>
      </c>
      <c r="D55" s="2" t="inlineStr"/>
      <c r="E55" s="2" t="inlineStr"/>
      <c r="F55" s="1" t="inlineStr">
        <is>
          <t>Climate</t>
        </is>
      </c>
      <c r="G55" s="1" t="inlineStr">
        <is>
          <t>15th May, 2025</t>
        </is>
      </c>
      <c r="H55" s="1" t="inlineStr"/>
      <c r="I55" s="1">
        <f>HYPERLINK("https://www.hclfoundation.org/sites/default/files/2025-04/Harit_A%20HR_RFP%20.docx","HCLFoundation, under its Environment flagship programme Harit invites RFP from NGOs/CSR organizations working in the field of environment for project on the restoration of various degraded and natural habitats")</f>
        <v/>
      </c>
    </row>
    <row r="56">
      <c r="A56" s="1" t="inlineStr">
        <is>
          <t>HCL Foundation</t>
        </is>
      </c>
      <c r="B56" s="1" t="inlineStr">
        <is>
          <t>N/A</t>
        </is>
      </c>
      <c r="C56" s="1" t="inlineStr">
        <is>
          <t>HCLFoundation invites EOI for conducting holistic and comprehensive Impact Assessments of environmental projects supported under Harit by HCLFoundation</t>
        </is>
      </c>
      <c r="D56" s="2" t="inlineStr"/>
      <c r="E56" s="2" t="inlineStr"/>
      <c r="F56" s="1" t="inlineStr">
        <is>
          <t>Governance</t>
        </is>
      </c>
      <c r="G56" s="1" t="inlineStr">
        <is>
          <t>15th May, 2025</t>
        </is>
      </c>
      <c r="H56" s="1" t="inlineStr"/>
      <c r="I56" s="1">
        <f>HYPERLINK("https://www.hclfoundation.org/sites/default/files/2025-04/EoI_Harit%20Impact%20Assessments.docx","HCLFoundation invites EOI for conducting holistic and comprehensive Impact Assessments of environmental projects supported under Harit by HCLFoundation")</f>
        <v/>
      </c>
    </row>
    <row r="57">
      <c r="A57" s="1" t="inlineStr">
        <is>
          <t>HCL Foundation</t>
        </is>
      </c>
      <c r="B57" s="1" t="inlineStr">
        <is>
          <t>N/A</t>
        </is>
      </c>
      <c r="C57" s="1" t="inlineStr">
        <is>
          <t>HCLFoundation invites technical application abstracts for the conducting technical and highly engaging environment awareness and sustainability workshops under Harit by HCLFoundation</t>
        </is>
      </c>
      <c r="D57" s="2" t="inlineStr"/>
      <c r="E57" s="2" t="inlineStr"/>
      <c r="F57" s="1" t="inlineStr">
        <is>
          <t>Climate</t>
        </is>
      </c>
      <c r="G57" s="1" t="inlineStr">
        <is>
          <t>15th May, 2025</t>
        </is>
      </c>
      <c r="H57" s="1" t="inlineStr"/>
      <c r="I57" s="1">
        <f>HYPERLINK("https://www.hclfoundation.org/sites/default/files/2025-04/EoI_EEA_Env%20%20Sus%20awareness%20workshops_FY%2025-26%20%281%29.docx","HCLFoundation invites technical application abstracts for the conducting technical and highly engaging environment awareness and sustainability workshops under Harit by HCLFoundation")</f>
        <v/>
      </c>
    </row>
    <row r="58">
      <c r="A58" s="1" t="inlineStr">
        <is>
          <t>Nagpur Metro Rail</t>
        </is>
      </c>
      <c r="B58" s="1" t="inlineStr">
        <is>
          <t>Tender/RFP</t>
        </is>
      </c>
      <c r="C58" s="1" t="inlineStr">
        <is>
          <t>Tender Notice No : T1PD-02/2026 Date: 11/02/2026 — Tender Notice No : T1PD-02/2026 Date: 11/02/2026 EoI Ref No : T1PD-02/2026 Date: 11/02/2026 Selection of Consultant for Preparation of Transit Oriented Development Plan, Local Area Master Plan and Multi-Modal Integration Plan for Thane Integral Ring Metro Project.</t>
        </is>
      </c>
      <c r="D58" s="2" t="inlineStr">
        <is>
          <t>Notice Inviting Tender</t>
        </is>
      </c>
      <c r="E58" s="2" t="inlineStr">
        <is>
          <t>Refer to the document: https://www.metrorailnagpur.com/pdf/NIT_T1PD-02_2026.PDF</t>
        </is>
      </c>
      <c r="F58" s="1" t="inlineStr">
        <is>
          <t>Learning</t>
        </is>
      </c>
      <c r="G58" s="1" t="inlineStr"/>
      <c r="H58" s="1" t="inlineStr"/>
      <c r="I58" s="1">
        <f>HYPERLINK("https://www.metrorailnagpur.com/pdf/NIT_T1PD-02_2026.PDF","Notice Inviting Tender")</f>
        <v/>
      </c>
    </row>
    <row r="59">
      <c r="A59" s="1" t="inlineStr">
        <is>
          <t>Nagpur Metro Rail</t>
        </is>
      </c>
      <c r="B59" s="1" t="inlineStr">
        <is>
          <t>Tender/RFP</t>
        </is>
      </c>
      <c r="C59" s="1" t="inlineStr">
        <is>
          <t>Tender Notice No : N1-CRF-13/2026  Date:16.01.2026 — Tender Notice No : N1-CRF-13/2026  Date:16.01.2026 EoI Ref No : N1-CRF-13/2026  Date:16.01.2026 Construction of State Institute of Disaster Management (SIDM) at Nagpur (MIHAN)</t>
        </is>
      </c>
      <c r="D59" s="2" t="inlineStr">
        <is>
          <t>Notice Inviting Tender</t>
        </is>
      </c>
      <c r="E59" s="2" t="inlineStr">
        <is>
          <t>Refer to the document: https://www.metrorailnagpur.com/pdf/SIDM Const NIT.pdf</t>
        </is>
      </c>
      <c r="F59" s="1" t="inlineStr">
        <is>
          <t>Governance, Climate</t>
        </is>
      </c>
      <c r="G59" s="1" t="inlineStr"/>
      <c r="H59" s="1" t="inlineStr"/>
      <c r="I59" s="1">
        <f>HYPERLINK("https://www.metrorailnagpur.com/pdf/SIDM Const NIT.pdf","Notice Inviting Tender")</f>
        <v/>
      </c>
    </row>
    <row r="60">
      <c r="A60" s="1" t="inlineStr">
        <is>
          <t>Nagpur Metro Rail</t>
        </is>
      </c>
      <c r="B60" s="1" t="inlineStr">
        <is>
          <t>Tender/RFP</t>
        </is>
      </c>
      <c r="C60" s="1" t="inlineStr">
        <is>
          <t>Tender Notice No : T1-024/DDC-03/2025  Date: 12.12.2025 — Tender Notice No : T1-024/DDC-03/2025  Date: 12.12.2025 EoI Ref No : T1-024/DDC-03/2025  Date: 12.12.2025 Detailed Design Consultancy Services for the Detailed Design of Architectural and Tunnel Ventilation System (TVS) , including SES Simulation and CFD Simulation of Stations and Tunnel; Environmental Control System (ECS); Building Management System (BMS); and E&amp;M Services for two (02) Underground Stations i) Thane Junction and ii) New Thane of the Thane Integral Ring Metro Project (Section Length: Approx 3 km including ramps)</t>
        </is>
      </c>
      <c r="D60" s="2" t="inlineStr">
        <is>
          <t>Notice Inviting Tender</t>
        </is>
      </c>
      <c r="E60" s="2" t="inlineStr">
        <is>
          <t>Refer to the document: https://www.metrorailnagpur.com/pdf/NIT-T1-024DDC-03.pdf</t>
        </is>
      </c>
      <c r="F60" s="1" t="inlineStr">
        <is>
          <t>Governance, Safety</t>
        </is>
      </c>
      <c r="G60" s="1" t="inlineStr"/>
      <c r="H60" s="1" t="inlineStr"/>
      <c r="I60" s="1">
        <f>HYPERLINK("https://www.metrorailnagpur.com/pdf/NIT-T1-024DDC-03.pdf","Notice Inviting Tender")</f>
        <v/>
      </c>
    </row>
    <row r="61">
      <c r="A61" s="1" t="inlineStr">
        <is>
          <t>NIUA</t>
        </is>
      </c>
      <c r="B61" s="1" t="inlineStr">
        <is>
          <t>Tender</t>
        </is>
      </c>
      <c r="C61" s="1" t="inlineStr">
        <is>
          <t>Final_RfP_UrbanShift_Preparation_of_Integrated_Green_Mobility_Plan_for_Pune.pdf</t>
        </is>
      </c>
      <c r="D61" s="2" t="inlineStr"/>
      <c r="E61" s="2" t="inlineStr"/>
      <c r="F61" s="1" t="inlineStr"/>
      <c r="G61" s="1" t="inlineStr"/>
      <c r="H61" s="1" t="inlineStr"/>
      <c r="I61" s="1">
        <f>HYPERLINK("https://niua.in/sites/default/files/tenders/Final_RfP_UrbanShift_Preparation_of_Integrated_Green_Mobility_Plan_for_Pune.pdf","Final_RfP_UrbanShift_Preparation_of_Integrated_Green_Mobility_Plan_for_Pune.pdf")</f>
        <v/>
      </c>
    </row>
    <row r="62">
      <c r="A62" s="1" t="inlineStr">
        <is>
          <t>NIUA</t>
        </is>
      </c>
      <c r="B62" s="1" t="inlineStr">
        <is>
          <t>Tender</t>
        </is>
      </c>
      <c r="C62" s="1" t="inlineStr">
        <is>
          <t>RFP_Engagement of GIS Expert_SCBP_2026.pdf</t>
        </is>
      </c>
      <c r="D62" s="2" t="inlineStr"/>
      <c r="E62" s="2" t="inlineStr"/>
      <c r="F62" s="1" t="inlineStr"/>
      <c r="G62" s="1" t="inlineStr"/>
      <c r="H62" s="1" t="inlineStr"/>
      <c r="I62" s="1">
        <f>HYPERLINK("https://niua.in/sites/default/files/tenders/RFP_Engagement%20of%20GIS%20Expert_SCBP_2026.pdf","RFP_Engagement of GIS Expert_SCBP_2026.pdf")</f>
        <v/>
      </c>
    </row>
    <row r="63">
      <c r="A63" s="1" t="inlineStr">
        <is>
          <t>NIUA</t>
        </is>
      </c>
      <c r="B63" s="1" t="inlineStr">
        <is>
          <t>Tender</t>
        </is>
      </c>
      <c r="C63" s="1" t="inlineStr">
        <is>
          <t>Response_to_Queries_Engagement_of_GIS_Expert_Agency.pdf</t>
        </is>
      </c>
      <c r="D63" s="2" t="inlineStr"/>
      <c r="E63" s="2" t="inlineStr"/>
      <c r="F63" s="1" t="inlineStr"/>
      <c r="G63" s="1" t="inlineStr"/>
      <c r="H63" s="1" t="inlineStr"/>
      <c r="I63" s="1">
        <f>HYPERLINK("https://niua.in/sites/default/files/tenders/Response_to_Queries_Engagement_of_GIS_Expert_Agency.pdf","Response_to_Queries_Engagement_of_GIS_Expert_Agency.pdf")</f>
        <v/>
      </c>
    </row>
    <row r="64">
      <c r="A64" s="1" t="inlineStr">
        <is>
          <t>NIUA</t>
        </is>
      </c>
      <c r="B64" s="1" t="inlineStr">
        <is>
          <t>Tender</t>
        </is>
      </c>
      <c r="C64" s="1" t="inlineStr">
        <is>
          <t>RfP_SRTW.pdf</t>
        </is>
      </c>
      <c r="D64" s="2" t="inlineStr"/>
      <c r="E64" s="2" t="inlineStr"/>
      <c r="F64" s="1" t="inlineStr"/>
      <c r="G64" s="1" t="inlineStr"/>
      <c r="H64" s="1" t="inlineStr"/>
      <c r="I64" s="1">
        <f>HYPERLINK("https://niua.in/sites/default/files/tenders/RfP_SRTW.pdf","RfP_SRTW.pdf")</f>
        <v/>
      </c>
    </row>
    <row r="65">
      <c r="A65" s="1" t="inlineStr">
        <is>
          <t>NIUA</t>
        </is>
      </c>
      <c r="B65" s="1" t="inlineStr">
        <is>
          <t>Tender</t>
        </is>
      </c>
      <c r="C65" s="1" t="inlineStr">
        <is>
          <t>Response to Pre-Bid Queries_SRTW_for Uploading.pdf</t>
        </is>
      </c>
      <c r="D65" s="2" t="inlineStr"/>
      <c r="E65" s="2" t="inlineStr"/>
      <c r="F65" s="1" t="inlineStr"/>
      <c r="G65" s="1" t="inlineStr"/>
      <c r="H65" s="1" t="inlineStr"/>
      <c r="I65" s="1">
        <f>HYPERLINK("https://niua.in/sites/default/files/tenders/Response%20to%20Pre-Bid%20Queries_SRTW_for%20Uploading.pdf","Response to Pre-Bid Queries_SRTW_for Uploading.pdf")</f>
        <v/>
      </c>
    </row>
    <row r="66">
      <c r="A66" s="1" t="inlineStr">
        <is>
          <t>NIUA</t>
        </is>
      </c>
      <c r="B66" s="1" t="inlineStr">
        <is>
          <t>Tender</t>
        </is>
      </c>
      <c r="C66" s="1" t="inlineStr">
        <is>
          <t>EOI_TECHNICAL_ASSISTANCE_UNDER_CITIIS_2.0_PROGRAM_DOMESTIC_POOL_OF_EXPERTS.pdf</t>
        </is>
      </c>
      <c r="D66" s="2" t="inlineStr"/>
      <c r="E66" s="2" t="inlineStr"/>
      <c r="F66" s="1" t="inlineStr"/>
      <c r="G66" s="1" t="inlineStr"/>
      <c r="H66" s="1" t="inlineStr"/>
      <c r="I66" s="1">
        <f>HYPERLINK("https://niua.in/sites/default/files/tenders/EOI_TECHNICAL_ASSISTANCE_UNDER_CITIIS_2.0_PROGRAM_DOMESTIC_POOL_OF_EXPERTS.pdf","EOI_TECHNICAL_ASSISTANCE_UNDER_CITIIS_2.0_PROGRAM_DOMESTIC_POOL_OF_EXPERTS.pdf")</f>
        <v/>
      </c>
    </row>
    <row r="67">
      <c r="A67" s="1" t="inlineStr">
        <is>
          <t>NIUA</t>
        </is>
      </c>
      <c r="B67" s="1" t="inlineStr">
        <is>
          <t>Tender</t>
        </is>
      </c>
      <c r="C67" s="1" t="inlineStr">
        <is>
          <t>Reply to Pre- Bid Queries - EOI for DE's under CITIIS 2.0.pdf</t>
        </is>
      </c>
      <c r="D67" s="2" t="inlineStr"/>
      <c r="E67" s="2" t="inlineStr"/>
      <c r="F67" s="1" t="inlineStr"/>
      <c r="G67" s="1" t="inlineStr"/>
      <c r="H67" s="1" t="inlineStr"/>
      <c r="I67" s="1">
        <f>HYPERLINK("https://niua.in/sites/default/files/tenders/Reply%20to%20Pre-%20Bid%20Queries%20-%20EOI%20for%20DE%27s%20under%20CITIIS%202.0.pdf","Reply to Pre- Bid Queries - EOI for DE's under CITIIS 2.0.pdf")</f>
        <v/>
      </c>
    </row>
    <row r="68">
      <c r="A68" s="1" t="inlineStr">
        <is>
          <t>NIUA</t>
        </is>
      </c>
      <c r="B68" s="1" t="inlineStr">
        <is>
          <t>Tender</t>
        </is>
      </c>
      <c r="C68" s="1" t="inlineStr">
        <is>
          <t>GeM-Bidding-8666471.pdf</t>
        </is>
      </c>
      <c r="D68" s="2" t="inlineStr"/>
      <c r="E68" s="2" t="inlineStr"/>
      <c r="F68" s="1" t="inlineStr"/>
      <c r="G68" s="1" t="inlineStr"/>
      <c r="H68" s="1" t="inlineStr"/>
      <c r="I68" s="1">
        <f>HYPERLINK("https://niua.in/sites/default/files/tenders/GeM-Bidding-8666471.pdf","GeM-Bidding-8666471.pdf")</f>
        <v/>
      </c>
    </row>
    <row r="69">
      <c r="A69" s="1" t="inlineStr">
        <is>
          <t>NIUA</t>
        </is>
      </c>
      <c r="B69" s="1" t="inlineStr">
        <is>
          <t>Tender</t>
        </is>
      </c>
      <c r="C69" s="1" t="inlineStr">
        <is>
          <t>corgaudt1.pdf</t>
        </is>
      </c>
      <c r="D69" s="2" t="inlineStr"/>
      <c r="E69" s="2" t="inlineStr"/>
      <c r="F69" s="1" t="inlineStr"/>
      <c r="G69" s="1" t="inlineStr"/>
      <c r="H69" s="1" t="inlineStr"/>
      <c r="I69" s="1">
        <f>HYPERLINK("https://niua.in/sites/default/files/tenders/corgaudt1.pdf","corgaudt1.pdf")</f>
        <v/>
      </c>
    </row>
    <row r="70">
      <c r="A70" s="1" t="inlineStr">
        <is>
          <t>NIUA</t>
        </is>
      </c>
      <c r="B70" s="1" t="inlineStr">
        <is>
          <t>Tender</t>
        </is>
      </c>
      <c r="C70" s="1" t="inlineStr">
        <is>
          <t>Corrigendum6959493.pdf</t>
        </is>
      </c>
      <c r="D70" s="2" t="inlineStr"/>
      <c r="E70" s="2" t="inlineStr"/>
      <c r="F70" s="1" t="inlineStr"/>
      <c r="G70" s="1" t="inlineStr"/>
      <c r="H70" s="1" t="inlineStr"/>
      <c r="I70" s="1">
        <f>HYPERLINK("https://niua.in/sites/default/files/tenders/Corrigendum6959493.pdf","Corrigendum6959493.pdf")</f>
        <v/>
      </c>
    </row>
    <row r="71">
      <c r="A71" s="1" t="inlineStr">
        <is>
          <t>NIUA</t>
        </is>
      </c>
      <c r="B71" s="1" t="inlineStr">
        <is>
          <t>Tender</t>
        </is>
      </c>
      <c r="C71" s="1" t="inlineStr">
        <is>
          <t>ADDENDUM6959493.pdf</t>
        </is>
      </c>
      <c r="D71" s="2" t="inlineStr"/>
      <c r="E71" s="2" t="inlineStr"/>
      <c r="F71" s="1" t="inlineStr"/>
      <c r="G71" s="1" t="inlineStr"/>
      <c r="H71" s="1" t="inlineStr"/>
      <c r="I71" s="1">
        <f>HYPERLINK("https://niua.in/sites/default/files/tenders/ADDENDUM6959493.pdf","ADDENDUM6959493.pdf")</f>
        <v/>
      </c>
    </row>
    <row r="72">
      <c r="A72" s="1" t="inlineStr">
        <is>
          <t>NIUA</t>
        </is>
      </c>
      <c r="B72" s="1" t="inlineStr">
        <is>
          <t>Tender</t>
        </is>
      </c>
      <c r="C72" s="1" t="inlineStr">
        <is>
          <t>RfP CJ&amp;IP Package 03_UrbanShift.pdf</t>
        </is>
      </c>
      <c r="D72" s="2" t="inlineStr"/>
      <c r="E72" s="2" t="inlineStr"/>
      <c r="F72" s="1" t="inlineStr"/>
      <c r="G72" s="1" t="inlineStr"/>
      <c r="H72" s="1" t="inlineStr"/>
      <c r="I72" s="1">
        <f>HYPERLINK("https://niua.in/sites/default/files/tenders/RfP%20CJ%26IP%20Package%2003_UrbanShift.pdf","RfP CJ&amp;IP Package 03_UrbanShift.pdf")</f>
        <v/>
      </c>
    </row>
    <row r="73">
      <c r="A73" s="1" t="inlineStr">
        <is>
          <t>NIUA</t>
        </is>
      </c>
      <c r="B73" s="1" t="inlineStr">
        <is>
          <t>Tender</t>
        </is>
      </c>
      <c r="C73" s="1" t="inlineStr">
        <is>
          <t>Prebid reply Cj&amp;IP package 3_18.12.2025.pdf</t>
        </is>
      </c>
      <c r="D73" s="2" t="inlineStr"/>
      <c r="E73" s="2" t="inlineStr"/>
      <c r="F73" s="1" t="inlineStr"/>
      <c r="G73" s="1" t="inlineStr"/>
      <c r="H73" s="1" t="inlineStr"/>
      <c r="I73" s="1">
        <f>HYPERLINK("https://niua.in/sites/default/files/tenders/Prebid%20reply%20Cj%26IP%20package%203_18.12.2025.pdf","Prebid reply Cj&amp;IP package 3_18.12.2025.pdf")</f>
        <v/>
      </c>
    </row>
    <row r="74">
      <c r="A74" s="1" t="inlineStr">
        <is>
          <t>NIUA</t>
        </is>
      </c>
      <c r="B74" s="1" t="inlineStr">
        <is>
          <t>Tender</t>
        </is>
      </c>
      <c r="C74" s="1" t="inlineStr">
        <is>
          <t>GeM-Bidding-8478801.pdf</t>
        </is>
      </c>
      <c r="D74" s="2" t="inlineStr"/>
      <c r="E74" s="2" t="inlineStr"/>
      <c r="F74" s="1" t="inlineStr"/>
      <c r="G74" s="1" t="inlineStr"/>
      <c r="H74" s="1" t="inlineStr"/>
      <c r="I74" s="1">
        <f>HYPERLINK("https://niua.in/sites/default/files/tenders/GeM-Bidding-8478801.pdf","GeM-Bidding-8478801.pdf")</f>
        <v/>
      </c>
    </row>
    <row r="75">
      <c r="A75" s="1" t="inlineStr">
        <is>
          <t>NIUA</t>
        </is>
      </c>
      <c r="B75" s="1" t="inlineStr">
        <is>
          <t>Tender</t>
        </is>
      </c>
      <c r="C75" s="1" t="inlineStr">
        <is>
          <t>GeM-Bidding-8476974.pdf</t>
        </is>
      </c>
      <c r="D75" s="2" t="inlineStr"/>
      <c r="E75" s="2" t="inlineStr"/>
      <c r="F75" s="1" t="inlineStr"/>
      <c r="G75" s="1" t="inlineStr"/>
      <c r="H75" s="1" t="inlineStr"/>
      <c r="I75" s="1">
        <f>HYPERLINK("https://niua.in/sites/default/files/tenders/GeM-Bidding-8476974.pdf","GeM-Bidding-8476974.pdf")</f>
        <v/>
      </c>
    </row>
    <row r="76">
      <c r="A76" s="1" t="inlineStr">
        <is>
          <t>NIUA</t>
        </is>
      </c>
      <c r="B76" s="1" t="inlineStr">
        <is>
          <t>Tender</t>
        </is>
      </c>
      <c r="C76" s="1" t="inlineStr">
        <is>
          <t>GeM-Bidding-8497150.pdf</t>
        </is>
      </c>
      <c r="D76" s="2" t="inlineStr"/>
      <c r="E76" s="2" t="inlineStr"/>
      <c r="F76" s="1" t="inlineStr"/>
      <c r="G76" s="1" t="inlineStr"/>
      <c r="H76" s="1" t="inlineStr"/>
      <c r="I76" s="1">
        <f>HYPERLINK("https://niua.in/sites/default/files/tenders/GeM-Bidding-8497150.pdf","GeM-Bidding-8497150.pdf")</f>
        <v/>
      </c>
    </row>
    <row r="77">
      <c r="A77" s="1" t="inlineStr">
        <is>
          <t>NIUA</t>
        </is>
      </c>
      <c r="B77" s="1" t="inlineStr">
        <is>
          <t>Tender</t>
        </is>
      </c>
      <c r="C77" s="1" t="inlineStr">
        <is>
          <t>EOI_Empanelment-of_SME_for_the_UrbanShift_Country_Project_040925.pdf</t>
        </is>
      </c>
      <c r="D77" s="2" t="inlineStr"/>
      <c r="E77" s="2" t="inlineStr"/>
      <c r="F77" s="1" t="inlineStr"/>
      <c r="G77" s="1" t="inlineStr"/>
      <c r="H77" s="1" t="inlineStr"/>
      <c r="I77" s="1">
        <f>HYPERLINK("https://niua.in/sites/default/files/tenders/EOI_Empanelment-of_SME_for_the_UrbanShift_Country_Project_040925.pdf","EOI_Empanelment-of_SME_for_the_UrbanShift_Country_Project_040925.pdf")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2026-02-16T05:26:28Z</dcterms:created>
  <dcterms:modified xsi:type="dcterms:W3CDTF">2026-02-16T05:26:28Z</dcterms:modified>
</cp:coreProperties>
</file>