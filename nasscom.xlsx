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  <col width="80" customWidth="1" min="3" max="3"/>
  </cols>
  <sheetData>
    <row r="1">
      <c r="A1" s="1" t="inlineStr">
        <is>
          <t>Title</t>
        </is>
      </c>
      <c r="B1" s="1" t="inlineStr">
        <is>
          <t>Matched_Vertical</t>
        </is>
      </c>
      <c r="C1" s="1" t="inlineStr">
        <is>
          <t>Clickable_Link</t>
        </is>
      </c>
    </row>
    <row r="2">
      <c r="A2" s="2" t="inlineStr">
        <is>
          <t>Travel &amp; Transportation Services for Trainer Mobility - IBM SkillBuild Bootcamps</t>
        </is>
      </c>
      <c r="B2" s="2" t="inlineStr">
        <is>
          <t>Safety</t>
        </is>
      </c>
      <c r="C2" s="2">
        <f>HYPERLINK("https://www.nasscomfoundation.org/pdf/travel-and-transportation-services-for-trainer-mobility-ibm-skillbuild-bootcamps.pdf", "Travel &amp; Transportation Services for Trainer Mobility - IBM SkillBuild Bootcamps")</f>
        <v/>
      </c>
    </row>
    <row r="3">
      <c r="A3" s="2" t="inlineStr">
        <is>
          <t>Baseline and End-line Evaluation of the HSBC Neurodivergent Digital Annotator Skilling Program -|</t>
        </is>
      </c>
      <c r="B3" s="2" t="inlineStr">
        <is>
          <t>Governance, Learning</t>
        </is>
      </c>
      <c r="C3" s="2">
        <f>HYPERLINK("https://www.nasscomfoundation.org/pdf/baseline-and-end-line-evaluation-of-hsbc-neurodivergent-digital-annotator-skilling-program.pdf", "Baseline and End-line Evaluation of the HSBC Neurodivergent Digital Annotator Skilling Program -|")</f>
        <v/>
      </c>
    </row>
    <row r="4">
      <c r="A4" s="2" t="inlineStr">
        <is>
          <t>Organization-wide Management Information System (MIS) for Nasscom Foundation</t>
        </is>
      </c>
      <c r="B4" s="2" t="inlineStr">
        <is>
          <t>Governance</t>
        </is>
      </c>
      <c r="C4" s="2">
        <f>HYPERLINK("https://www.nasscomfoundation.org/pdf/organization-wide-management-information-system-for-nasscom-foundation.pdf", "Organization-wide Management Information System (MIS) for Nasscom Foundation")</f>
        <v/>
      </c>
    </row>
    <row r="5">
      <c r="A5" s="2" t="inlineStr">
        <is>
          <t>Request for Proposal (RFP) for Social Media Management Services</t>
        </is>
      </c>
      <c r="B5" s="2" t="inlineStr">
        <is>
          <t>Governance</t>
        </is>
      </c>
      <c r="C5" s="2">
        <f>HYPERLINK("https://www.nasscomfoundation.org/pdf/request-for-proposal-for-social-media-management-services.pdf", "Request for Proposal (RFP) for Social Media Management Services")</f>
        <v/>
      </c>
    </row>
    <row r="6">
      <c r="A6" s="2" t="inlineStr">
        <is>
          <t>RFP - TechForSociety - Evaluation Study</t>
        </is>
      </c>
      <c r="B6" s="2" t="inlineStr">
        <is>
          <t>Governance</t>
        </is>
      </c>
      <c r="C6" s="2">
        <f>HYPERLINK("https://www.nasscomfoundation.org/pdf/techforsociety-evaluation-study.pdf", "RFP - TechForSociety - Evaluation Study")</f>
        <v/>
      </c>
    </row>
    <row r="7">
      <c r="A7" s="2" t="inlineStr">
        <is>
          <t>Base-line and End-line evaluation for Digital Literacy Project in 4 States</t>
        </is>
      </c>
      <c r="B7" s="2" t="inlineStr">
        <is>
          <t>Governance, Learning</t>
        </is>
      </c>
      <c r="C7" s="2">
        <f>HYPERLINK("https://www.nasscomfoundation.org/pdf/base-line-and-end-line-evaluation-for-digital-literacy-project-in-4-states.pdf", "Base-line and End-line evaluation for Digital Literacy Project in 4 States")</f>
        <v/>
      </c>
    </row>
    <row r="8">
      <c r="A8" s="2" t="inlineStr">
        <is>
          <t>IP Selection - Scholarship Support to students from Economically Weaker Section pursuing higher education in STEM courses</t>
        </is>
      </c>
      <c r="B8" s="2" t="inlineStr">
        <is>
          <t>Learning</t>
        </is>
      </c>
      <c r="C8" s="2">
        <f>HYPERLINK("https://www.nasscomfoundation.org/pdf/scholarship-support-for-economically-weaker-section-students-in-stem-higher-education.pdf", "IP Selection - Scholarship Support to students from Economically Weaker Section pursuing higher education in STEM courses")</f>
        <v/>
      </c>
    </row>
    <row r="9">
      <c r="A9" s="2" t="inlineStr">
        <is>
          <t>Digital Upskilling of Farmer Producer Organizations (FPOs) through Technology</t>
        </is>
      </c>
      <c r="B9" s="2" t="inlineStr">
        <is>
          <t>Learning</t>
        </is>
      </c>
      <c r="C9" s="2">
        <f>HYPERLINK("https://www.nasscomfoundation.org/pdf/baseline-endline-study-digital-upskilling-fpos-technology.pdf", "Digital Upskilling of Farmer Producer Organizations (FPOs) through Technology")</f>
        <v/>
      </c>
    </row>
    <row r="10">
      <c r="A10" s="2" t="inlineStr">
        <is>
          <t>Project - Accelerating 100 Women Micro Entrepreneurs of Northeastern States</t>
        </is>
      </c>
      <c r="B10" s="2" t="inlineStr">
        <is>
          <t>Learning</t>
        </is>
      </c>
      <c r="C10" s="2">
        <f>HYPERLINK("https://www.nasscomfoundation.org/pdf/project-accelerating-100-women-micro-entrepreneurs-of-northeastern-states.pdf", "Project - Accelerating 100 Women Micro Entrepreneurs of Northeastern States")</f>
        <v/>
      </c>
    </row>
    <row r="11">
      <c r="A11" s="2" t="inlineStr">
        <is>
          <t>Agency for Developing Training Modules and Conducting Training of Trainers (ToT) for MSMEs on IPR and Financial Management</t>
        </is>
      </c>
      <c r="B11" s="2" t="inlineStr">
        <is>
          <t>Governance, Learning</t>
        </is>
      </c>
      <c r="C11" s="2">
        <f>HYPERLINK("https://www.nasscomfoundation.org/pdf/agency-for-developing-training-modules-and-conducting-ToT-for-MSMEs-on-IPR-and-financial-management.pdf", "Agency for Developing Training Modules and Conducting Training of Trainers (ToT) for MSMEs on IPR and Financial Management")</f>
        <v/>
      </c>
    </row>
    <row r="12">
      <c r="A12" s="2" t="inlineStr">
        <is>
          <t>RFP for WISE - Women in Innovation, Skills &amp; Entrepreneurship</t>
        </is>
      </c>
      <c r="B12" s="2" t="inlineStr">
        <is>
          <t>Learning, Safety</t>
        </is>
      </c>
      <c r="C12" s="2">
        <f>HYPERLINK("https://www.nasscomfoundation.org/pdf/women-in-Innovation-skills-and-entrepreneurship.pdf", "RFP for WISE - Women in Innovation, Skills &amp; Entrepreneurship")</f>
        <v/>
      </c>
    </row>
    <row r="13">
      <c r="A13" s="2" t="inlineStr">
        <is>
          <t>Women Entrepreneurs Digital Upskilling Project - ATR Program In collaboration with Women Entrepreneurship Platform (WEP), NITI Aayog &amp; Nasscom Foundation - English</t>
        </is>
      </c>
      <c r="B13" s="2" t="inlineStr">
        <is>
          <t>Learning, Safety</t>
        </is>
      </c>
      <c r="C13" s="2">
        <f>HYPERLINK("https://www.nasscomfoundation.org/pdf/WEP-NI-ATR-RFA-English.pdf", "Women Entrepreneurs Digital Upskilling Project - ATR Program In collaboration with Women Entrepreneurship Platform (WEP), NITI Aayog &amp; Nasscom Foundation - English")</f>
        <v/>
      </c>
    </row>
    <row r="14">
      <c r="A14" s="2" t="inlineStr">
        <is>
          <t>Women Entrepreneurs Digital Upskilling Project - ATR Program In collaboration with Women Entrepreneurship Platform (WEP), NITI Aayog &amp; Nasscom Foundation - Kannada</t>
        </is>
      </c>
      <c r="B14" s="2" t="inlineStr">
        <is>
          <t>Learning, Safety</t>
        </is>
      </c>
      <c r="C14" s="2">
        <f>HYPERLINK("https://www.nasscomfoundation.org/pdf/WEP-NI-ATR-RFA-Kannada.pdf", "Women Entrepreneurs Digital Upskilling Project - ATR Program In collaboration with Women Entrepreneurship Platform (WEP), NITI Aayog &amp; Nasscom Foundation - Kannada")</f>
        <v/>
      </c>
    </row>
    <row r="15">
      <c r="A15" s="2" t="inlineStr">
        <is>
          <t>RFP - Trainer for Nano Women Entrepreneurs in Karnataka</t>
        </is>
      </c>
      <c r="B15" s="2" t="inlineStr">
        <is>
          <t>Safety</t>
        </is>
      </c>
      <c r="C15" s="2">
        <f>HYPERLINK("https://www.nasscomfoundation.org/pdf/trainer-for-nano-women-entrepreneurs-in-karnataka.pdf", "RFP - Trainer for Nano Women Entrepreneurs in Karnataka")</f>
        <v/>
      </c>
    </row>
    <row r="16">
      <c r="A16" s="2" t="inlineStr">
        <is>
          <t>RFP - Training Agency with Content and Trainers for Nano Women Entrepreneurs in Karnataka</t>
        </is>
      </c>
      <c r="B16" s="2" t="inlineStr">
        <is>
          <t>Learning, Safety</t>
        </is>
      </c>
      <c r="C16" s="2">
        <f>HYPERLINK("https://www.nasscomfoundation.org/pdf/training-agency-with-content-and-trainers-for-nano-women-entrepreneurs-in-karnataka.pdf", "RFP - Training Agency with Content and Trainers for Nano Women Entrepreneurs in Karnataka")</f>
        <v/>
      </c>
    </row>
    <row r="17">
      <c r="A17" s="2" t="inlineStr">
        <is>
          <t>Access to E-Governance and Livelihood in PVTG Communities in Aspirational Blocks</t>
        </is>
      </c>
      <c r="B17" s="2" t="inlineStr">
        <is>
          <t>Governance, Safety</t>
        </is>
      </c>
      <c r="C17" s="2">
        <f>HYPERLINK("https://www.nasscomfoundation.org/pdf/access-to-e-governance-and-livelihood-in-pvtg-communities-in-aspirational-blocks.pdf", "Access to E-Governance and Livelihood in PVTG Communities in Aspirational Blocks")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2026-01-02T19:08:34Z</dcterms:created>
  <dcterms:modified xmlns:dcterms="http://purl.org/dc/terms/" xmlns:xsi="http://www.w3.org/2001/XMLSchema-instance" xsi:type="dcterms:W3CDTF">2026-01-02T19:08:34Z</dcterms:modified>
</cp:coreProperties>
</file>